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oares\Desktop\Simulação\"/>
    </mc:Choice>
  </mc:AlternateContent>
  <bookViews>
    <workbookView xWindow="0" yWindow="0" windowWidth="12492" windowHeight="5112"/>
  </bookViews>
  <sheets>
    <sheet name="Planilha1" sheetId="2" r:id="rId1"/>
    <sheet name="Planilha2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H9" i="3" l="1"/>
  <c r="AH8" i="3"/>
  <c r="AH7" i="3"/>
  <c r="AH6" i="3"/>
  <c r="AH5" i="3"/>
  <c r="C3" i="3"/>
  <c r="B3" i="3"/>
  <c r="D3" i="3" s="1"/>
  <c r="E3" i="3" l="1"/>
</calcChain>
</file>

<file path=xl/sharedStrings.xml><?xml version="1.0" encoding="utf-8"?>
<sst xmlns="http://schemas.openxmlformats.org/spreadsheetml/2006/main" count="51" uniqueCount="46">
  <si>
    <t xml:space="preserve">média de 2,5 pessoas para dispensar na sátélite </t>
  </si>
  <si>
    <t xml:space="preserve">Dispensação para as equipes assistenciais </t>
  </si>
  <si>
    <t>Produção de fite selada</t>
  </si>
  <si>
    <t>Armazenamento nas satélites</t>
  </si>
  <si>
    <t>Transporte para as atélites</t>
  </si>
  <si>
    <t>Atendimento para farmácias satélites</t>
  </si>
  <si>
    <t>Armazenamento em estoque interno da CAF</t>
  </si>
  <si>
    <t>OPME pra satélite do bloco</t>
  </si>
  <si>
    <t>2h</t>
  </si>
  <si>
    <t>Unitarização automatizada</t>
  </si>
  <si>
    <t xml:space="preserve">dispensação direto </t>
  </si>
  <si>
    <t>Unitarização manual</t>
  </si>
  <si>
    <t xml:space="preserve">Produção de fita </t>
  </si>
  <si>
    <t>2min</t>
  </si>
  <si>
    <t>1min</t>
  </si>
  <si>
    <t>10s</t>
  </si>
  <si>
    <t xml:space="preserve">avaliar para fracionar </t>
  </si>
  <si>
    <t>Armazenamento interno direto sem fracionamento</t>
  </si>
  <si>
    <t>Armazenamento na CAF</t>
  </si>
  <si>
    <t>Unitarização e etiquetagem Manual</t>
  </si>
  <si>
    <t xml:space="preserve">Registro no sistema </t>
  </si>
  <si>
    <t>Unitarização e etiquetagem Automatica</t>
  </si>
  <si>
    <t>Conferencia de NF com OF</t>
  </si>
  <si>
    <t>Aproximadamente, qual o percentual de itens vai para cada lugar?</t>
  </si>
  <si>
    <t>Quantidade entregues no dia</t>
  </si>
  <si>
    <t>Entregas feitas no dia</t>
  </si>
  <si>
    <t>MAX</t>
  </si>
  <si>
    <t>COMUM</t>
  </si>
  <si>
    <t>MIN</t>
  </si>
  <si>
    <t>Quantos funcionários para cada atividade?</t>
  </si>
  <si>
    <t>Qual o tempo para realizar cada atividade?</t>
  </si>
  <si>
    <t>Atividades</t>
  </si>
  <si>
    <t>Dispensação PS</t>
  </si>
  <si>
    <t>fita</t>
  </si>
  <si>
    <t>devolução</t>
  </si>
  <si>
    <t>fracionamento manual</t>
  </si>
  <si>
    <t>unitarização automatica</t>
  </si>
  <si>
    <t>produção p/ min</t>
  </si>
  <si>
    <t>produtividade</t>
  </si>
  <si>
    <t>produção média</t>
  </si>
  <si>
    <t>conferência de NF</t>
  </si>
  <si>
    <t>registro no sistema</t>
  </si>
  <si>
    <t>segundos</t>
  </si>
  <si>
    <t>(min:seg)</t>
  </si>
  <si>
    <t>formula usada para transformar em segundos</t>
  </si>
  <si>
    <t>28.6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</si>
</sst>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Fill="1" applyBorder="1"/>
    <xf numFmtId="43" fontId="0" fillId="0" borderId="6" xfId="1" applyFont="1" applyBorder="1"/>
    <xf numFmtId="9" fontId="0" fillId="0" borderId="10" xfId="0" applyNumberFormat="1" applyBorder="1"/>
    <xf numFmtId="0" fontId="0" fillId="0" borderId="11" xfId="0" applyBorder="1"/>
    <xf numFmtId="43" fontId="0" fillId="0" borderId="0" xfId="1" applyFont="1"/>
    <xf numFmtId="9" fontId="0" fillId="0" borderId="12" xfId="0" applyNumberFormat="1" applyBorder="1"/>
    <xf numFmtId="0" fontId="0" fillId="0" borderId="13" xfId="0" applyBorder="1"/>
    <xf numFmtId="20" fontId="0" fillId="0" borderId="0" xfId="0" applyNumberFormat="1"/>
    <xf numFmtId="0" fontId="0" fillId="0" borderId="14" xfId="0" applyBorder="1" applyAlignment="1">
      <alignment horizontal="centerContinuous"/>
    </xf>
    <xf numFmtId="0" fontId="0" fillId="0" borderId="15" xfId="0" applyBorder="1" applyAlignment="1">
      <alignment horizontal="centerContinuous"/>
    </xf>
    <xf numFmtId="0" fontId="0" fillId="0" borderId="5" xfId="0" applyBorder="1" applyAlignment="1">
      <alignment horizontal="centerContinuous"/>
    </xf>
    <xf numFmtId="0" fontId="0" fillId="0" borderId="16" xfId="0" applyBorder="1"/>
    <xf numFmtId="0" fontId="0" fillId="0" borderId="17" xfId="0" applyFont="1" applyBorder="1" applyAlignment="1">
      <alignment horizontal="centerContinuous"/>
    </xf>
    <xf numFmtId="0" fontId="0" fillId="0" borderId="18" xfId="0" applyFont="1" applyBorder="1" applyAlignment="1">
      <alignment horizontal="centerContinuous"/>
    </xf>
    <xf numFmtId="0" fontId="0" fillId="0" borderId="19" xfId="0" applyFont="1" applyBorder="1" applyAlignment="1">
      <alignment horizontal="centerContinuous"/>
    </xf>
    <xf numFmtId="0" fontId="0" fillId="0" borderId="16" xfId="0" applyBorder="1" applyAlignment="1">
      <alignment horizontal="centerContinuous"/>
    </xf>
    <xf numFmtId="10" fontId="0" fillId="0" borderId="0" xfId="0" applyNumberFormat="1"/>
    <xf numFmtId="2" fontId="0" fillId="0" borderId="0" xfId="0" applyNumberForma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21"/>
  <sheetViews>
    <sheetView tabSelected="1" topLeftCell="G2" zoomScale="131" workbookViewId="0">
      <selection activeCell="H10" sqref="H10"/>
    </sheetView>
  </sheetViews>
  <sheetFormatPr defaultRowHeight="14.4" x14ac:dyDescent="0.3"/>
  <cols>
    <col min="2" max="2" width="37.44140625" bestFit="1" customWidth="1"/>
    <col min="3" max="3" width="12.77734375" customWidth="1"/>
    <col min="4" max="4" width="14.21875" customWidth="1"/>
    <col min="5" max="5" width="12.109375" customWidth="1"/>
    <col min="8" max="8" width="54.5546875" customWidth="1"/>
    <col min="9" max="9" width="8.5546875" customWidth="1"/>
  </cols>
  <sheetData>
    <row r="1" spans="2:9" ht="15" thickBot="1" x14ac:dyDescent="0.35"/>
    <row r="2" spans="2:9" x14ac:dyDescent="0.3">
      <c r="B2" s="24" t="s">
        <v>31</v>
      </c>
      <c r="C2" s="23" t="s">
        <v>30</v>
      </c>
      <c r="D2" s="22"/>
      <c r="E2" s="21"/>
      <c r="F2" s="20" t="s">
        <v>29</v>
      </c>
    </row>
    <row r="3" spans="2:9" x14ac:dyDescent="0.3">
      <c r="B3" s="19"/>
      <c r="C3" s="8" t="s">
        <v>28</v>
      </c>
      <c r="D3" s="7" t="s">
        <v>27</v>
      </c>
      <c r="E3" s="6" t="s">
        <v>26</v>
      </c>
      <c r="F3" s="5"/>
    </row>
    <row r="4" spans="2:9" ht="15" thickBot="1" x14ac:dyDescent="0.35">
      <c r="B4" s="5" t="s">
        <v>25</v>
      </c>
      <c r="C4" s="8">
        <v>2</v>
      </c>
      <c r="D4" s="7">
        <v>10</v>
      </c>
      <c r="E4" s="6">
        <v>15</v>
      </c>
      <c r="F4" s="5"/>
    </row>
    <row r="5" spans="2:9" x14ac:dyDescent="0.3">
      <c r="B5" s="5" t="s">
        <v>24</v>
      </c>
      <c r="C5" s="8">
        <v>3</v>
      </c>
      <c r="D5" s="7">
        <v>22000</v>
      </c>
      <c r="E5" s="6">
        <v>60000</v>
      </c>
      <c r="F5" s="5"/>
      <c r="H5" s="18" t="s">
        <v>23</v>
      </c>
      <c r="I5" s="17"/>
    </row>
    <row r="6" spans="2:9" x14ac:dyDescent="0.3">
      <c r="B6" s="5" t="s">
        <v>22</v>
      </c>
      <c r="C6">
        <v>10</v>
      </c>
      <c r="D6" s="7">
        <v>20</v>
      </c>
      <c r="E6" s="16">
        <v>6.25E-2</v>
      </c>
      <c r="F6" s="5"/>
      <c r="H6" s="15" t="s">
        <v>21</v>
      </c>
      <c r="I6" s="14">
        <v>0.85</v>
      </c>
    </row>
    <row r="7" spans="2:9" x14ac:dyDescent="0.3">
      <c r="B7" s="5" t="s">
        <v>20</v>
      </c>
      <c r="C7" s="8">
        <v>10</v>
      </c>
      <c r="D7" s="7">
        <v>20</v>
      </c>
      <c r="E7" s="6">
        <v>30</v>
      </c>
      <c r="F7" s="5"/>
      <c r="H7" s="15" t="s">
        <v>19</v>
      </c>
      <c r="I7" s="14">
        <v>0.15</v>
      </c>
    </row>
    <row r="8" spans="2:9" ht="15" thickBot="1" x14ac:dyDescent="0.35">
      <c r="B8" s="5" t="s">
        <v>18</v>
      </c>
      <c r="C8" s="8">
        <v>20</v>
      </c>
      <c r="D8" s="7">
        <v>30</v>
      </c>
      <c r="E8" s="6">
        <v>40</v>
      </c>
      <c r="F8" s="5"/>
      <c r="H8" s="12" t="s">
        <v>17</v>
      </c>
      <c r="I8" s="11">
        <v>0.02</v>
      </c>
    </row>
    <row r="9" spans="2:9" x14ac:dyDescent="0.3">
      <c r="B9" s="5" t="s">
        <v>16</v>
      </c>
      <c r="C9" s="8" t="s">
        <v>15</v>
      </c>
      <c r="D9" s="7" t="s">
        <v>14</v>
      </c>
      <c r="E9" s="6" t="s">
        <v>13</v>
      </c>
      <c r="F9" s="5"/>
      <c r="H9" s="15" t="s">
        <v>12</v>
      </c>
      <c r="I9" s="14">
        <v>0.8</v>
      </c>
    </row>
    <row r="10" spans="2:9" ht="15" thickBot="1" x14ac:dyDescent="0.35">
      <c r="B10" s="5" t="s">
        <v>11</v>
      </c>
      <c r="C10" s="8" t="s">
        <v>8</v>
      </c>
      <c r="D10" s="7">
        <v>2.2999999999999998</v>
      </c>
      <c r="E10" s="13">
        <v>8</v>
      </c>
      <c r="F10" s="5"/>
      <c r="H10" s="12" t="s">
        <v>10</v>
      </c>
      <c r="I10" s="11">
        <v>0.2</v>
      </c>
    </row>
    <row r="11" spans="2:9" ht="15" thickBot="1" x14ac:dyDescent="0.35">
      <c r="B11" s="5" t="s">
        <v>9</v>
      </c>
      <c r="C11" s="8" t="s">
        <v>8</v>
      </c>
      <c r="D11" s="7">
        <v>2.2999999999999998</v>
      </c>
      <c r="E11" s="13">
        <v>8</v>
      </c>
      <c r="F11" s="5"/>
      <c r="H11" s="12" t="s">
        <v>7</v>
      </c>
      <c r="I11" s="11">
        <v>0.08</v>
      </c>
    </row>
    <row r="12" spans="2:9" x14ac:dyDescent="0.3">
      <c r="B12" s="5" t="s">
        <v>6</v>
      </c>
      <c r="C12" s="8">
        <v>0.2</v>
      </c>
      <c r="D12" s="7">
        <v>0.4</v>
      </c>
      <c r="E12" s="10">
        <v>1</v>
      </c>
      <c r="F12" s="5"/>
    </row>
    <row r="13" spans="2:9" x14ac:dyDescent="0.3">
      <c r="B13" s="5" t="s">
        <v>5</v>
      </c>
      <c r="C13" s="8">
        <v>0.4</v>
      </c>
      <c r="D13" s="7">
        <v>1</v>
      </c>
      <c r="E13" s="6">
        <v>1.3</v>
      </c>
      <c r="F13" s="5"/>
    </row>
    <row r="14" spans="2:9" x14ac:dyDescent="0.3">
      <c r="B14" s="9" t="s">
        <v>4</v>
      </c>
      <c r="C14" s="8">
        <v>0.4</v>
      </c>
      <c r="D14" s="7">
        <v>1</v>
      </c>
      <c r="E14" s="6">
        <v>1.3</v>
      </c>
      <c r="F14" s="5"/>
    </row>
    <row r="15" spans="2:9" x14ac:dyDescent="0.3">
      <c r="B15" s="5" t="s">
        <v>3</v>
      </c>
      <c r="C15" s="8">
        <v>0.3</v>
      </c>
      <c r="D15" s="7">
        <v>0.4</v>
      </c>
      <c r="E15" s="6">
        <v>1.3</v>
      </c>
      <c r="F15" s="5"/>
    </row>
    <row r="16" spans="2:9" x14ac:dyDescent="0.3">
      <c r="B16" s="5" t="s">
        <v>2</v>
      </c>
      <c r="C16" s="8">
        <v>0.05</v>
      </c>
      <c r="D16" s="7">
        <v>0.1</v>
      </c>
      <c r="E16" s="6">
        <v>0.3</v>
      </c>
      <c r="F16" s="5"/>
    </row>
    <row r="17" spans="2:6" ht="15" thickBot="1" x14ac:dyDescent="0.35">
      <c r="B17" s="1" t="s">
        <v>1</v>
      </c>
      <c r="C17" s="4">
        <v>0.02</v>
      </c>
      <c r="D17" s="3">
        <v>0.05</v>
      </c>
      <c r="E17" s="2">
        <v>0.2</v>
      </c>
      <c r="F17" s="1"/>
    </row>
    <row r="21" spans="2:6" x14ac:dyDescent="0.3">
      <c r="B21" t="s">
        <v>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H53"/>
  <sheetViews>
    <sheetView zoomScale="70" zoomScaleNormal="100" workbookViewId="0"/>
  </sheetViews>
  <sheetFormatPr defaultRowHeight="14.4" x14ac:dyDescent="0.3"/>
  <sheetData>
    <row r="2" spans="2:34" x14ac:dyDescent="0.3">
      <c r="B2" t="s">
        <v>44</v>
      </c>
      <c r="G2" t="s">
        <v>32</v>
      </c>
      <c r="K2" t="s">
        <v>33</v>
      </c>
      <c r="N2" t="s">
        <v>34</v>
      </c>
      <c r="S2" t="s">
        <v>35</v>
      </c>
      <c r="X2" t="s">
        <v>36</v>
      </c>
    </row>
    <row r="3" spans="2:34" x14ac:dyDescent="0.3">
      <c r="B3">
        <f>HOUR(A3)</f>
        <v>0</v>
      </c>
      <c r="C3">
        <f>MINUTE(A3)</f>
        <v>0</v>
      </c>
      <c r="D3" s="26">
        <f>B3*60</f>
        <v>0</v>
      </c>
      <c r="E3" s="26">
        <f>C3+D3</f>
        <v>0</v>
      </c>
      <c r="G3" t="s">
        <v>43</v>
      </c>
      <c r="H3" t="s">
        <v>42</v>
      </c>
      <c r="K3" t="s">
        <v>43</v>
      </c>
      <c r="L3" t="s">
        <v>42</v>
      </c>
      <c r="O3" t="s">
        <v>43</v>
      </c>
      <c r="P3" t="s">
        <v>42</v>
      </c>
    </row>
    <row r="4" spans="2:34" x14ac:dyDescent="0.3">
      <c r="F4">
        <v>1</v>
      </c>
      <c r="G4" s="16">
        <v>5.2083333333333336E-2</v>
      </c>
      <c r="H4">
        <v>75</v>
      </c>
      <c r="J4">
        <v>1</v>
      </c>
      <c r="K4" s="16">
        <v>0.29097222222222224</v>
      </c>
      <c r="L4">
        <v>419</v>
      </c>
      <c r="N4">
        <v>1</v>
      </c>
      <c r="O4" s="16">
        <v>0.14305555555555557</v>
      </c>
      <c r="P4">
        <v>206</v>
      </c>
      <c r="R4">
        <v>1</v>
      </c>
      <c r="S4" s="16">
        <v>2.7083333333333334E-2</v>
      </c>
      <c r="T4">
        <v>39</v>
      </c>
      <c r="V4" t="s">
        <v>38</v>
      </c>
      <c r="X4" t="s">
        <v>37</v>
      </c>
      <c r="Y4" t="s">
        <v>39</v>
      </c>
      <c r="AC4" t="s">
        <v>40</v>
      </c>
      <c r="AG4" t="s">
        <v>41</v>
      </c>
    </row>
    <row r="5" spans="2:34" x14ac:dyDescent="0.3">
      <c r="F5">
        <v>2</v>
      </c>
      <c r="G5" s="16">
        <v>4.1666666666666664E-2</v>
      </c>
      <c r="H5">
        <v>60</v>
      </c>
      <c r="J5">
        <v>2</v>
      </c>
      <c r="K5" s="16">
        <v>0.10416666666666667</v>
      </c>
      <c r="L5">
        <v>150</v>
      </c>
      <c r="N5">
        <v>2</v>
      </c>
      <c r="O5" s="16">
        <v>6.0416666666666667E-2</v>
      </c>
      <c r="P5">
        <v>87</v>
      </c>
      <c r="R5">
        <v>2</v>
      </c>
      <c r="S5" s="16">
        <v>2.8472222222222222E-2</v>
      </c>
      <c r="T5">
        <v>41</v>
      </c>
      <c r="V5" s="25">
        <v>0.38300000000000001</v>
      </c>
      <c r="W5">
        <v>1</v>
      </c>
      <c r="X5">
        <v>16</v>
      </c>
      <c r="Y5">
        <v>18</v>
      </c>
      <c r="Z5">
        <v>18</v>
      </c>
      <c r="AB5">
        <v>1</v>
      </c>
      <c r="AC5" s="16">
        <v>4.1666666666666664E-2</v>
      </c>
      <c r="AD5">
        <v>60</v>
      </c>
      <c r="AF5">
        <v>1</v>
      </c>
      <c r="AG5" s="16">
        <v>0.13958333333333334</v>
      </c>
      <c r="AH5" s="26">
        <f>AF5+AG5</f>
        <v>1.1395833333333334</v>
      </c>
    </row>
    <row r="6" spans="2:34" x14ac:dyDescent="0.3">
      <c r="F6">
        <v>3</v>
      </c>
      <c r="G6" s="16">
        <v>9.5833333333333326E-2</v>
      </c>
      <c r="H6">
        <v>138</v>
      </c>
      <c r="J6">
        <v>3</v>
      </c>
      <c r="K6" s="16">
        <v>0.19999999999999998</v>
      </c>
      <c r="L6">
        <v>288</v>
      </c>
      <c r="N6">
        <v>3</v>
      </c>
      <c r="O6" s="16">
        <v>5.7638888888888885E-2</v>
      </c>
      <c r="P6">
        <v>83</v>
      </c>
      <c r="R6">
        <v>3</v>
      </c>
      <c r="S6" s="16">
        <v>7.7083333333333337E-2</v>
      </c>
      <c r="T6">
        <v>111</v>
      </c>
      <c r="W6">
        <v>2</v>
      </c>
      <c r="X6">
        <v>17</v>
      </c>
      <c r="Y6">
        <v>28.6</v>
      </c>
      <c r="Z6" t="s">
        <v>45</v>
      </c>
      <c r="AB6">
        <v>2</v>
      </c>
      <c r="AC6" s="16">
        <v>6.9444444444444434E-2</v>
      </c>
      <c r="AD6">
        <v>100</v>
      </c>
      <c r="AF6">
        <v>2</v>
      </c>
      <c r="AG6" s="16">
        <v>3.4722222222222224E-2</v>
      </c>
      <c r="AH6" s="26">
        <f t="shared" ref="AH6:AH9" si="0">AF6+AG6</f>
        <v>2.0347222222222223</v>
      </c>
    </row>
    <row r="7" spans="2:34" x14ac:dyDescent="0.3">
      <c r="F7">
        <v>4</v>
      </c>
      <c r="G7" s="16">
        <v>9.8611111111111108E-2</v>
      </c>
      <c r="H7">
        <v>142</v>
      </c>
      <c r="J7">
        <v>4</v>
      </c>
      <c r="K7" s="16">
        <v>0.25833333333333336</v>
      </c>
      <c r="L7">
        <v>372</v>
      </c>
      <c r="N7">
        <v>4</v>
      </c>
      <c r="O7" s="16">
        <v>6.0416666666666667E-2</v>
      </c>
      <c r="P7">
        <v>87</v>
      </c>
      <c r="R7">
        <v>4</v>
      </c>
      <c r="S7" s="16">
        <v>1.1111111111111112E-2</v>
      </c>
      <c r="T7">
        <v>16</v>
      </c>
      <c r="W7">
        <v>3</v>
      </c>
      <c r="X7">
        <v>29</v>
      </c>
      <c r="Z7">
        <v>16</v>
      </c>
      <c r="AF7">
        <v>3</v>
      </c>
      <c r="AG7" s="16">
        <v>0.11875000000000001</v>
      </c>
      <c r="AH7" s="26">
        <f t="shared" si="0"/>
        <v>3.1187499999999999</v>
      </c>
    </row>
    <row r="8" spans="2:34" x14ac:dyDescent="0.3">
      <c r="F8">
        <v>5</v>
      </c>
      <c r="G8" s="16">
        <v>3.6805555555555557E-2</v>
      </c>
      <c r="H8">
        <v>53</v>
      </c>
      <c r="J8">
        <v>5</v>
      </c>
      <c r="K8" s="16">
        <v>0.20416666666666669</v>
      </c>
      <c r="L8">
        <v>294</v>
      </c>
      <c r="N8">
        <v>5</v>
      </c>
      <c r="O8" s="16">
        <v>4.6527777777777779E-2</v>
      </c>
      <c r="P8">
        <v>67</v>
      </c>
      <c r="R8">
        <v>5</v>
      </c>
      <c r="S8" s="16">
        <v>4.3055555555555562E-2</v>
      </c>
      <c r="T8">
        <v>62</v>
      </c>
      <c r="W8">
        <v>4</v>
      </c>
      <c r="X8">
        <v>17</v>
      </c>
      <c r="Z8">
        <v>17</v>
      </c>
      <c r="AF8">
        <v>4</v>
      </c>
      <c r="AG8" s="16">
        <v>0.12013888888888889</v>
      </c>
      <c r="AH8" s="26">
        <f t="shared" si="0"/>
        <v>4.1201388888888886</v>
      </c>
    </row>
    <row r="9" spans="2:34" x14ac:dyDescent="0.3">
      <c r="F9">
        <v>6</v>
      </c>
      <c r="G9" s="16">
        <v>2.4999999999999998E-2</v>
      </c>
      <c r="H9">
        <v>36</v>
      </c>
      <c r="J9">
        <v>6</v>
      </c>
      <c r="K9" s="16">
        <v>0.24305555555555555</v>
      </c>
      <c r="L9">
        <v>350</v>
      </c>
      <c r="N9">
        <v>6</v>
      </c>
      <c r="O9" s="16">
        <v>9.7222222222222224E-3</v>
      </c>
      <c r="P9">
        <v>14</v>
      </c>
      <c r="R9">
        <v>6</v>
      </c>
      <c r="S9" s="16">
        <v>0.57847222222222217</v>
      </c>
      <c r="T9">
        <v>833</v>
      </c>
      <c r="W9">
        <v>5</v>
      </c>
      <c r="X9">
        <v>25</v>
      </c>
      <c r="Z9">
        <v>29</v>
      </c>
      <c r="AF9">
        <v>5</v>
      </c>
      <c r="AG9" s="16">
        <v>8.0555555555555561E-2</v>
      </c>
      <c r="AH9" s="26">
        <f t="shared" si="0"/>
        <v>5.0805555555555557</v>
      </c>
    </row>
    <row r="10" spans="2:34" x14ac:dyDescent="0.3">
      <c r="F10">
        <v>7</v>
      </c>
      <c r="G10" s="16">
        <v>6.5972222222222224E-2</v>
      </c>
      <c r="H10">
        <v>95</v>
      </c>
      <c r="J10">
        <v>7</v>
      </c>
      <c r="K10" s="16">
        <v>5.2777777777777778E-2</v>
      </c>
      <c r="L10">
        <v>76</v>
      </c>
      <c r="N10">
        <v>7</v>
      </c>
      <c r="O10" s="16">
        <v>1.0416666666666666E-2</v>
      </c>
      <c r="P10">
        <v>15</v>
      </c>
      <c r="R10">
        <v>7</v>
      </c>
      <c r="S10" s="16">
        <v>3.4027777777777775E-2</v>
      </c>
      <c r="T10">
        <v>49</v>
      </c>
      <c r="W10">
        <v>6</v>
      </c>
      <c r="X10">
        <v>28</v>
      </c>
      <c r="Z10">
        <v>17</v>
      </c>
    </row>
    <row r="11" spans="2:34" x14ac:dyDescent="0.3">
      <c r="F11">
        <v>8</v>
      </c>
      <c r="G11" s="16">
        <v>0.22638888888888889</v>
      </c>
      <c r="H11">
        <v>326</v>
      </c>
      <c r="J11">
        <v>8</v>
      </c>
      <c r="K11" s="16">
        <v>5.2777777777777778E-2</v>
      </c>
      <c r="L11">
        <v>76</v>
      </c>
      <c r="N11">
        <v>8</v>
      </c>
      <c r="O11" s="16">
        <v>1.9444444444444445E-2</v>
      </c>
      <c r="P11">
        <v>28</v>
      </c>
      <c r="R11">
        <v>8</v>
      </c>
      <c r="S11" s="16">
        <v>6.3194444444444442E-2</v>
      </c>
      <c r="T11">
        <v>91</v>
      </c>
      <c r="W11">
        <v>7</v>
      </c>
      <c r="X11">
        <v>26</v>
      </c>
      <c r="Z11">
        <v>25</v>
      </c>
    </row>
    <row r="12" spans="2:34" x14ac:dyDescent="0.3">
      <c r="F12">
        <v>9</v>
      </c>
      <c r="G12" s="16">
        <v>2.2222222222222223E-2</v>
      </c>
      <c r="H12">
        <v>32</v>
      </c>
      <c r="J12">
        <v>9</v>
      </c>
      <c r="K12" s="16">
        <v>5.2777777777777778E-2</v>
      </c>
      <c r="L12">
        <v>76</v>
      </c>
      <c r="N12">
        <v>9</v>
      </c>
      <c r="O12" s="16">
        <v>1.8749999999999999E-2</v>
      </c>
      <c r="P12">
        <v>27</v>
      </c>
      <c r="R12">
        <v>9</v>
      </c>
      <c r="S12" s="16">
        <v>2.4999999999999998E-2</v>
      </c>
      <c r="T12">
        <v>36</v>
      </c>
      <c r="W12">
        <v>8</v>
      </c>
      <c r="X12">
        <v>29</v>
      </c>
      <c r="Z12">
        <v>28</v>
      </c>
    </row>
    <row r="13" spans="2:34" x14ac:dyDescent="0.3">
      <c r="F13">
        <v>10</v>
      </c>
      <c r="G13" s="16">
        <v>1.5972222222222224E-2</v>
      </c>
      <c r="H13">
        <v>23</v>
      </c>
      <c r="J13">
        <v>10</v>
      </c>
      <c r="K13" s="16">
        <v>0.11666666666666665</v>
      </c>
      <c r="L13">
        <v>168</v>
      </c>
      <c r="R13">
        <v>10</v>
      </c>
      <c r="S13" s="16">
        <v>3.125E-2</v>
      </c>
      <c r="T13">
        <v>45</v>
      </c>
      <c r="W13">
        <v>9</v>
      </c>
      <c r="X13">
        <v>32</v>
      </c>
      <c r="Z13">
        <v>26</v>
      </c>
    </row>
    <row r="14" spans="2:34" x14ac:dyDescent="0.3">
      <c r="F14">
        <v>11</v>
      </c>
      <c r="G14" s="16">
        <v>4.9999999999999996E-2</v>
      </c>
      <c r="H14">
        <v>72</v>
      </c>
      <c r="J14">
        <v>11</v>
      </c>
      <c r="K14" s="16">
        <v>0.11666666666666665</v>
      </c>
      <c r="L14">
        <v>168</v>
      </c>
      <c r="R14">
        <v>11</v>
      </c>
      <c r="S14" s="16">
        <v>3.4722222222222224E-2</v>
      </c>
      <c r="T14">
        <v>50</v>
      </c>
      <c r="W14">
        <v>10</v>
      </c>
      <c r="X14">
        <v>28</v>
      </c>
      <c r="Z14">
        <v>29</v>
      </c>
    </row>
    <row r="15" spans="2:34" x14ac:dyDescent="0.3">
      <c r="F15">
        <v>12</v>
      </c>
      <c r="G15" s="16">
        <v>1.7361111111111112E-2</v>
      </c>
      <c r="H15">
        <v>25</v>
      </c>
      <c r="J15">
        <v>12</v>
      </c>
      <c r="K15" s="16">
        <v>0.11666666666666665</v>
      </c>
      <c r="L15">
        <v>168</v>
      </c>
      <c r="R15">
        <v>12</v>
      </c>
      <c r="S15" s="16">
        <v>2.7777777777777776E-2</v>
      </c>
      <c r="T15">
        <v>40</v>
      </c>
      <c r="W15">
        <v>11</v>
      </c>
      <c r="X15">
        <v>20</v>
      </c>
      <c r="Z15">
        <v>32</v>
      </c>
    </row>
    <row r="16" spans="2:34" x14ac:dyDescent="0.3">
      <c r="F16">
        <v>13</v>
      </c>
      <c r="G16" s="16">
        <v>5.2777777777777778E-2</v>
      </c>
      <c r="H16">
        <v>76</v>
      </c>
      <c r="J16">
        <v>13</v>
      </c>
      <c r="K16" s="16">
        <v>0.11666666666666665</v>
      </c>
      <c r="L16">
        <v>168</v>
      </c>
      <c r="R16">
        <v>13</v>
      </c>
      <c r="S16" s="16">
        <v>4.2361111111111106E-2</v>
      </c>
      <c r="T16">
        <v>61</v>
      </c>
      <c r="W16">
        <v>12</v>
      </c>
      <c r="X16">
        <v>22</v>
      </c>
      <c r="Z16">
        <v>28</v>
      </c>
    </row>
    <row r="17" spans="6:26" x14ac:dyDescent="0.3">
      <c r="F17">
        <v>14</v>
      </c>
      <c r="G17" s="16">
        <v>2.013888888888889E-2</v>
      </c>
      <c r="H17">
        <v>29</v>
      </c>
      <c r="J17">
        <v>14</v>
      </c>
      <c r="K17" s="16">
        <v>0.11666666666666665</v>
      </c>
      <c r="L17">
        <v>168</v>
      </c>
      <c r="R17">
        <v>14</v>
      </c>
      <c r="S17" s="16">
        <v>0.51041666666666663</v>
      </c>
      <c r="T17">
        <v>735</v>
      </c>
      <c r="W17">
        <v>13</v>
      </c>
      <c r="X17">
        <v>21</v>
      </c>
      <c r="Z17">
        <v>20</v>
      </c>
    </row>
    <row r="18" spans="6:26" x14ac:dyDescent="0.3">
      <c r="F18">
        <v>15</v>
      </c>
      <c r="G18" s="16">
        <v>0.10416666666666667</v>
      </c>
      <c r="H18">
        <v>150</v>
      </c>
      <c r="J18">
        <v>15</v>
      </c>
      <c r="K18" s="16">
        <v>0.17986111111111111</v>
      </c>
      <c r="L18">
        <v>259</v>
      </c>
      <c r="R18">
        <v>15</v>
      </c>
      <c r="S18" s="16">
        <v>0.97152777777777777</v>
      </c>
      <c r="T18">
        <v>1399</v>
      </c>
      <c r="W18">
        <v>14</v>
      </c>
      <c r="X18">
        <v>31</v>
      </c>
      <c r="Z18">
        <v>22</v>
      </c>
    </row>
    <row r="19" spans="6:26" x14ac:dyDescent="0.3">
      <c r="F19">
        <v>16</v>
      </c>
      <c r="G19" s="16">
        <v>4.9999999999999996E-2</v>
      </c>
      <c r="H19">
        <v>72</v>
      </c>
      <c r="K19" s="16"/>
      <c r="R19">
        <v>16</v>
      </c>
      <c r="S19" s="16">
        <v>0.94097222222222221</v>
      </c>
      <c r="T19">
        <v>1355</v>
      </c>
      <c r="W19">
        <v>15</v>
      </c>
      <c r="X19">
        <v>22</v>
      </c>
      <c r="Z19">
        <v>21</v>
      </c>
    </row>
    <row r="20" spans="6:26" x14ac:dyDescent="0.3">
      <c r="F20">
        <v>17</v>
      </c>
      <c r="G20" s="16">
        <v>8.2638888888888887E-2</v>
      </c>
      <c r="H20">
        <v>119</v>
      </c>
      <c r="K20" s="16"/>
      <c r="R20">
        <v>17</v>
      </c>
      <c r="S20" s="16">
        <v>0.83333333333333337</v>
      </c>
      <c r="T20">
        <v>1200</v>
      </c>
      <c r="W20">
        <v>16</v>
      </c>
      <c r="X20">
        <v>20</v>
      </c>
      <c r="Z20">
        <v>31</v>
      </c>
    </row>
    <row r="21" spans="6:26" x14ac:dyDescent="0.3">
      <c r="F21">
        <v>18</v>
      </c>
      <c r="G21" s="16">
        <v>4.9999999999999996E-2</v>
      </c>
      <c r="H21">
        <v>72</v>
      </c>
      <c r="K21" s="16"/>
      <c r="R21">
        <v>18</v>
      </c>
      <c r="S21" s="16">
        <v>0.78680555555555554</v>
      </c>
      <c r="T21">
        <v>1133</v>
      </c>
      <c r="W21">
        <v>17</v>
      </c>
      <c r="X21">
        <v>19</v>
      </c>
      <c r="Z21">
        <v>22</v>
      </c>
    </row>
    <row r="22" spans="6:26" x14ac:dyDescent="0.3">
      <c r="F22">
        <v>19</v>
      </c>
      <c r="G22" s="16">
        <v>9.5138888888888884E-2</v>
      </c>
      <c r="H22">
        <v>137</v>
      </c>
      <c r="K22" s="16"/>
      <c r="W22">
        <v>18</v>
      </c>
      <c r="X22">
        <v>20</v>
      </c>
      <c r="Z22">
        <v>20</v>
      </c>
    </row>
    <row r="23" spans="6:26" x14ac:dyDescent="0.3">
      <c r="F23">
        <v>20</v>
      </c>
      <c r="G23" s="16">
        <v>1.5277777777777777E-2</v>
      </c>
      <c r="H23">
        <v>22</v>
      </c>
      <c r="K23" s="16"/>
      <c r="W23">
        <v>19</v>
      </c>
      <c r="X23">
        <v>28</v>
      </c>
      <c r="Z23">
        <v>19</v>
      </c>
    </row>
    <row r="24" spans="6:26" x14ac:dyDescent="0.3">
      <c r="F24">
        <v>21</v>
      </c>
      <c r="G24" s="16">
        <v>2.2916666666666669E-2</v>
      </c>
      <c r="H24">
        <v>33</v>
      </c>
      <c r="W24">
        <v>20</v>
      </c>
      <c r="X24">
        <v>24</v>
      </c>
      <c r="Z24">
        <v>20</v>
      </c>
    </row>
    <row r="25" spans="6:26" x14ac:dyDescent="0.3">
      <c r="F25">
        <v>22</v>
      </c>
      <c r="G25" s="16">
        <v>3.2638888888888891E-2</v>
      </c>
      <c r="H25">
        <v>47</v>
      </c>
      <c r="W25">
        <v>21</v>
      </c>
      <c r="X25">
        <v>25</v>
      </c>
      <c r="Z25">
        <v>28</v>
      </c>
    </row>
    <row r="26" spans="6:26" x14ac:dyDescent="0.3">
      <c r="F26">
        <v>23</v>
      </c>
      <c r="G26" s="16">
        <v>3.4722222222222224E-2</v>
      </c>
      <c r="H26">
        <v>50</v>
      </c>
      <c r="W26">
        <v>22</v>
      </c>
      <c r="X26">
        <v>30</v>
      </c>
      <c r="Z26">
        <v>24</v>
      </c>
    </row>
    <row r="27" spans="6:26" x14ac:dyDescent="0.3">
      <c r="F27">
        <v>24</v>
      </c>
      <c r="G27" s="16">
        <v>4.5138888888888888E-2</v>
      </c>
      <c r="H27">
        <v>65</v>
      </c>
      <c r="W27">
        <v>23</v>
      </c>
      <c r="X27">
        <v>31</v>
      </c>
      <c r="Z27">
        <v>25</v>
      </c>
    </row>
    <row r="28" spans="6:26" x14ac:dyDescent="0.3">
      <c r="F28">
        <v>25</v>
      </c>
      <c r="G28" s="16">
        <v>4.0972222222222222E-2</v>
      </c>
      <c r="H28">
        <v>59</v>
      </c>
      <c r="W28">
        <v>24</v>
      </c>
      <c r="X28">
        <v>32</v>
      </c>
      <c r="Z28">
        <v>30</v>
      </c>
    </row>
    <row r="29" spans="6:26" x14ac:dyDescent="0.3">
      <c r="F29">
        <v>26</v>
      </c>
      <c r="G29" s="16">
        <v>9.4444444444444442E-2</v>
      </c>
      <c r="H29">
        <v>136</v>
      </c>
      <c r="W29">
        <v>25</v>
      </c>
      <c r="X29">
        <v>25</v>
      </c>
      <c r="Z29">
        <v>31</v>
      </c>
    </row>
    <row r="30" spans="6:26" x14ac:dyDescent="0.3">
      <c r="F30">
        <v>27</v>
      </c>
      <c r="G30" s="16">
        <v>1.8749999999999999E-2</v>
      </c>
      <c r="H30">
        <v>27</v>
      </c>
      <c r="W30">
        <v>26</v>
      </c>
      <c r="X30">
        <v>24</v>
      </c>
      <c r="Z30">
        <v>32</v>
      </c>
    </row>
    <row r="31" spans="6:26" x14ac:dyDescent="0.3">
      <c r="F31">
        <v>28</v>
      </c>
      <c r="G31" s="16">
        <v>2.013888888888889E-2</v>
      </c>
      <c r="H31">
        <v>29</v>
      </c>
      <c r="W31">
        <v>27</v>
      </c>
      <c r="X31">
        <v>24</v>
      </c>
      <c r="Z31">
        <v>25</v>
      </c>
    </row>
    <row r="32" spans="6:26" x14ac:dyDescent="0.3">
      <c r="F32">
        <v>29</v>
      </c>
      <c r="G32" s="16">
        <v>6.9444444444444434E-2</v>
      </c>
      <c r="H32">
        <v>100</v>
      </c>
      <c r="W32">
        <v>28</v>
      </c>
      <c r="X32">
        <v>25</v>
      </c>
      <c r="Z32">
        <v>24</v>
      </c>
    </row>
    <row r="33" spans="6:26" x14ac:dyDescent="0.3">
      <c r="F33">
        <v>30</v>
      </c>
      <c r="G33" s="16">
        <v>0.19791666666666666</v>
      </c>
      <c r="H33">
        <v>285</v>
      </c>
      <c r="W33">
        <v>29</v>
      </c>
      <c r="X33">
        <v>32</v>
      </c>
      <c r="Z33">
        <v>24</v>
      </c>
    </row>
    <row r="34" spans="6:26" x14ac:dyDescent="0.3">
      <c r="F34">
        <v>31</v>
      </c>
      <c r="G34" s="16">
        <v>2.0833333333333332E-2</v>
      </c>
      <c r="H34">
        <v>30</v>
      </c>
      <c r="W34">
        <v>30</v>
      </c>
      <c r="X34">
        <v>32</v>
      </c>
      <c r="Z34">
        <v>25</v>
      </c>
    </row>
    <row r="35" spans="6:26" x14ac:dyDescent="0.3">
      <c r="F35">
        <v>32</v>
      </c>
      <c r="G35" s="16">
        <v>1.3194444444444444E-2</v>
      </c>
      <c r="H35">
        <v>19</v>
      </c>
      <c r="W35">
        <v>31</v>
      </c>
      <c r="X35">
        <v>29</v>
      </c>
      <c r="Z35">
        <v>32</v>
      </c>
    </row>
    <row r="36" spans="6:26" x14ac:dyDescent="0.3">
      <c r="F36">
        <v>33</v>
      </c>
      <c r="G36" s="16">
        <v>2.4999999999999998E-2</v>
      </c>
      <c r="H36">
        <v>36</v>
      </c>
      <c r="W36">
        <v>32</v>
      </c>
      <c r="X36">
        <v>29</v>
      </c>
      <c r="Z36">
        <v>32</v>
      </c>
    </row>
    <row r="37" spans="6:26" x14ac:dyDescent="0.3">
      <c r="F37">
        <v>34</v>
      </c>
      <c r="G37" s="16">
        <v>9.7222222222222224E-2</v>
      </c>
      <c r="H37">
        <v>140</v>
      </c>
      <c r="W37">
        <v>33</v>
      </c>
      <c r="X37">
        <v>25</v>
      </c>
      <c r="Z37">
        <v>29</v>
      </c>
    </row>
    <row r="38" spans="6:26" x14ac:dyDescent="0.3">
      <c r="F38">
        <v>35</v>
      </c>
      <c r="G38" s="16">
        <v>5.2083333333333336E-2</v>
      </c>
      <c r="H38">
        <v>75</v>
      </c>
      <c r="W38">
        <v>34</v>
      </c>
      <c r="X38">
        <v>27</v>
      </c>
      <c r="Z38">
        <v>29</v>
      </c>
    </row>
    <row r="39" spans="6:26" x14ac:dyDescent="0.3">
      <c r="F39">
        <v>36</v>
      </c>
      <c r="G39" s="16">
        <v>5.8333333333333327E-2</v>
      </c>
      <c r="H39">
        <v>84</v>
      </c>
      <c r="W39">
        <v>35</v>
      </c>
      <c r="X39">
        <v>28</v>
      </c>
      <c r="Z39">
        <v>25</v>
      </c>
    </row>
    <row r="40" spans="6:26" x14ac:dyDescent="0.3">
      <c r="F40">
        <v>37</v>
      </c>
      <c r="G40" s="16">
        <v>7.1527777777777787E-2</v>
      </c>
      <c r="H40">
        <v>103</v>
      </c>
      <c r="Z40">
        <v>27</v>
      </c>
    </row>
    <row r="41" spans="6:26" x14ac:dyDescent="0.3">
      <c r="F41">
        <v>38</v>
      </c>
      <c r="G41" s="16">
        <v>0.23750000000000002</v>
      </c>
      <c r="H41">
        <v>342</v>
      </c>
      <c r="Z41">
        <v>28</v>
      </c>
    </row>
    <row r="42" spans="6:26" x14ac:dyDescent="0.3">
      <c r="F42">
        <v>39</v>
      </c>
      <c r="G42" s="16">
        <v>4.2361111111111106E-2</v>
      </c>
      <c r="H42">
        <v>61</v>
      </c>
    </row>
    <row r="43" spans="6:26" x14ac:dyDescent="0.3">
      <c r="F43">
        <v>40</v>
      </c>
      <c r="G43" s="16">
        <v>3.7499999999999999E-2</v>
      </c>
      <c r="H43">
        <v>54</v>
      </c>
    </row>
    <row r="44" spans="6:26" x14ac:dyDescent="0.3">
      <c r="F44">
        <v>41</v>
      </c>
      <c r="G44" s="16">
        <v>0.10208333333333335</v>
      </c>
      <c r="H44">
        <v>147</v>
      </c>
    </row>
    <row r="45" spans="6:26" x14ac:dyDescent="0.3">
      <c r="F45">
        <v>42</v>
      </c>
      <c r="G45" s="16">
        <v>4.1666666666666664E-2</v>
      </c>
      <c r="H45">
        <v>60</v>
      </c>
    </row>
    <row r="46" spans="6:26" x14ac:dyDescent="0.3">
      <c r="F46">
        <v>43</v>
      </c>
      <c r="G46" s="16">
        <v>9.0277777777777787E-3</v>
      </c>
      <c r="H46">
        <v>13</v>
      </c>
    </row>
    <row r="47" spans="6:26" x14ac:dyDescent="0.3">
      <c r="F47">
        <v>44</v>
      </c>
      <c r="G47" s="16">
        <v>4.2361111111111106E-2</v>
      </c>
      <c r="H47">
        <v>61</v>
      </c>
    </row>
    <row r="48" spans="6:26" x14ac:dyDescent="0.3">
      <c r="F48">
        <v>45</v>
      </c>
      <c r="G48" s="16">
        <v>3.4722222222222224E-2</v>
      </c>
      <c r="H48">
        <v>50</v>
      </c>
    </row>
    <row r="49" spans="6:8" x14ac:dyDescent="0.3">
      <c r="F49">
        <v>46</v>
      </c>
      <c r="G49" s="16">
        <v>2.6388888888888889E-2</v>
      </c>
      <c r="H49">
        <v>38</v>
      </c>
    </row>
    <row r="50" spans="6:8" x14ac:dyDescent="0.3">
      <c r="F50">
        <v>47</v>
      </c>
      <c r="G50" s="16">
        <v>2.1527777777777781E-2</v>
      </c>
      <c r="H50">
        <v>31</v>
      </c>
    </row>
    <row r="51" spans="6:8" x14ac:dyDescent="0.3">
      <c r="F51">
        <v>48</v>
      </c>
      <c r="G51" s="16">
        <v>4.027777777777778E-2</v>
      </c>
      <c r="H51">
        <v>58</v>
      </c>
    </row>
    <row r="52" spans="6:8" x14ac:dyDescent="0.3">
      <c r="F52">
        <v>49</v>
      </c>
      <c r="G52" s="16">
        <v>2.4999999999999998E-2</v>
      </c>
      <c r="H52">
        <v>36</v>
      </c>
    </row>
    <row r="53" spans="6:8" x14ac:dyDescent="0.3">
      <c r="F53">
        <v>50</v>
      </c>
      <c r="G53" s="16">
        <v>9.2361111111111116E-2</v>
      </c>
      <c r="H53">
        <v>133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Soares</dc:creator>
  <cp:lastModifiedBy>Soares</cp:lastModifiedBy>
  <dcterms:created xsi:type="dcterms:W3CDTF">2025-10-22T14:22:48Z</dcterms:created>
  <dcterms:modified xsi:type="dcterms:W3CDTF">2025-11-07T03:25:31Z</dcterms:modified>
</cp:coreProperties>
</file>