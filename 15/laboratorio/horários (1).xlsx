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gadas" sheetId="1" r:id="rId4"/>
    <sheet state="visible" name="transporte_lab_leito" sheetId="2" r:id="rId5"/>
    <sheet state="visible" name="coleta" sheetId="3" r:id="rId6"/>
    <sheet state="visible" name="transporte" sheetId="4" r:id="rId7"/>
    <sheet state="visible" name="Triagem" sheetId="5" r:id="rId8"/>
    <sheet state="visible" name="Entrega" sheetId="6" r:id="rId9"/>
    <sheet state="visible" name="processamento_tec_total" sheetId="7" r:id="rId10"/>
    <sheet state="visible" name="validaca_clin_total" sheetId="8" r:id="rId11"/>
    <sheet state="visible" name="telefonema" sheetId="9" r:id="rId12"/>
    <sheet state="visible" name="Compilado" sheetId="10" r:id="rId13"/>
    <sheet state="visible" name="Horário coletas " sheetId="11" r:id="rId14"/>
    <sheet state="visible" name="horario triagem" sheetId="12" r:id="rId15"/>
    <sheet state="visible" name="horario coleta própria" sheetId="13" r:id="rId16"/>
    <sheet state="visible" name="Telefonemas" sheetId="14" r:id="rId17"/>
    <sheet state="visible" name="horários" sheetId="15" r:id="rId18"/>
    <sheet state="visible" name="recoletas" sheetId="16" r:id="rId19"/>
  </sheets>
  <definedNames/>
  <calcPr/>
  <extLst>
    <ext uri="GoogleSheetsCustomDataVersion2">
      <go:sheetsCustomData xmlns:go="http://customooxmlschemas.google.com/" r:id="rId20" roundtripDataChecksum="wzCavVLdT2FOHiqxssivLvJidjx2lkea+G/oATQ8KU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======
ID#AAABtR5kN7o
Sarah Medeiros    (2025-10-28 23:48:14)
calculei atraves da med de seg/paciente conhecida</t>
      </text>
    </comment>
    <comment authorId="0" ref="K1">
      <text>
        <t xml:space="preserve">======
ID#AAABtR5kN7c
tc={E422CD4E-64D0-4624-A2B5-135F4CF5F207}    (2025-10-28 23:19:09)
[Comentário encadeado]
Sua versão do Excel permite que você leia este comentário encadeado, no entanto, as edições serão removidas se o arquivo for aberto em uma versão mais recente do Excel. Saiba mais: https://go.microsoft.com/fwlink/?linkid=870924
Comentário:
    Mesmas duas que recebem da amostra de coleta própria</t>
      </text>
    </comment>
    <comment authorId="0" ref="B12">
      <text>
        <t xml:space="preserve">======
ID#AAABtR5kN7Y
tc={B5C6E6A1-4B74-4C8C-8A57-95C44D19833A}    (2025-10-28 23:19:09)
[Comentário encadeado]
Sua versão do Excel permite que você leia este comentário encadeado, no entanto, as edições serão removidas se o arquivo for aberto em uma versão mais recente do Excel. Saiba mais: https://go.microsoft.com/fwlink/?linkid=870924
Comentário:
    Mas acho que ela passou no banheiro ou em outro lugar</t>
      </text>
    </comment>
  </commentList>
  <extLst>
    <ext uri="GoogleSheetsCustomDataVersion2">
      <go:sheetsCustomData xmlns:go="http://customooxmlschemas.google.com/" r:id="rId1" roundtripDataSignature="AMtx7mjHuqmwhz/FF3VorCD5VFene3DyYA=="/>
    </ext>
  </extLst>
</comments>
</file>

<file path=xl/sharedStrings.xml><?xml version="1.0" encoding="utf-8"?>
<sst xmlns="http://schemas.openxmlformats.org/spreadsheetml/2006/main" count="649" uniqueCount="157">
  <si>
    <t>Horários chegada pedidos</t>
  </si>
  <si>
    <t>INTERVALOS</t>
  </si>
  <si>
    <t>MINUTOS</t>
  </si>
  <si>
    <t>INICIO</t>
  </si>
  <si>
    <t>FIM</t>
  </si>
  <si>
    <t>COLETA</t>
  </si>
  <si>
    <t>REGISTRO</t>
  </si>
  <si>
    <t>INTERVALO</t>
  </si>
  <si>
    <t>Transporte Leito --&gt; Laboratório</t>
  </si>
  <si>
    <t>Registro</t>
  </si>
  <si>
    <t>Fim da coleta</t>
  </si>
  <si>
    <t>Chegada para triagem</t>
  </si>
  <si>
    <t>Intervalo</t>
  </si>
  <si>
    <t>Minutos</t>
  </si>
  <si>
    <t>LOGNORMAL</t>
  </si>
  <si>
    <t>media</t>
  </si>
  <si>
    <t>Parâmetro μ</t>
  </si>
  <si>
    <t>desvd pad</t>
  </si>
  <si>
    <t>Parâmetro σ</t>
  </si>
  <si>
    <t>QTDE EXAMES</t>
  </si>
  <si>
    <t>MINUTOS/ EXAME</t>
  </si>
  <si>
    <t>FIM TRIAGEM</t>
  </si>
  <si>
    <t>FIM LIB_TÉC</t>
  </si>
  <si>
    <t>LIB Clinc</t>
  </si>
  <si>
    <t>Tempos das atividades</t>
  </si>
  <si>
    <t>Triagem</t>
  </si>
  <si>
    <t>Coleta Própria</t>
  </si>
  <si>
    <t>Telefonema</t>
  </si>
  <si>
    <t>Transp coleta -&gt; triagem</t>
  </si>
  <si>
    <t>LIB Tecnica</t>
  </si>
  <si>
    <t>LIB Clinica</t>
  </si>
  <si>
    <t>Tempo gasto (s)</t>
  </si>
  <si>
    <t>Taxas</t>
  </si>
  <si>
    <t>Chegada de Pedidos (Pacientes)</t>
  </si>
  <si>
    <t>Recoletas</t>
  </si>
  <si>
    <t>Pac/Seg</t>
  </si>
  <si>
    <t>taxa</t>
  </si>
  <si>
    <t>Transporte coleta -&gt; lab</t>
  </si>
  <si>
    <t>coleta</t>
  </si>
  <si>
    <t>chega na triagem</t>
  </si>
  <si>
    <t>intervalo</t>
  </si>
  <si>
    <t>minutos</t>
  </si>
  <si>
    <t>Inicio</t>
  </si>
  <si>
    <t>Fim</t>
  </si>
  <si>
    <t xml:space="preserve">Intervalo em seg </t>
  </si>
  <si>
    <t>triagem</t>
  </si>
  <si>
    <t>LIB Tec</t>
  </si>
  <si>
    <t>em min</t>
  </si>
  <si>
    <t>em seg</t>
  </si>
  <si>
    <t>conferir amostra 19 e 24</t>
  </si>
  <si>
    <t>Horário</t>
  </si>
  <si>
    <t>Processo</t>
  </si>
  <si>
    <t>Qtde pacientes</t>
  </si>
  <si>
    <t>Amostra</t>
  </si>
  <si>
    <t>Qtd Pacientes</t>
  </si>
  <si>
    <t>Intervalo atvd</t>
  </si>
  <si>
    <t>intervalo em min</t>
  </si>
  <si>
    <t>Tempo (seg)/paciente</t>
  </si>
  <si>
    <t>Média seg/paciente</t>
  </si>
  <si>
    <t>2 funcionárias</t>
  </si>
  <si>
    <t xml:space="preserve">inicio triagem </t>
  </si>
  <si>
    <t>Atendeu um telefone</t>
  </si>
  <si>
    <t>saiu do telefone</t>
  </si>
  <si>
    <t>Finalizou e quase saiu pra levar, mas na hora chegou amostra própria</t>
  </si>
  <si>
    <t>Finalizou triagem</t>
  </si>
  <si>
    <t>Chegada de exames pra triagem</t>
  </si>
  <si>
    <t>Iniciou processo triagem</t>
  </si>
  <si>
    <t>Finalizou processo de triagem</t>
  </si>
  <si>
    <t>Levantou e transportou essa amostra triada</t>
  </si>
  <si>
    <t>Ela retornou ao seu assento</t>
  </si>
  <si>
    <t>0.32</t>
  </si>
  <si>
    <t>0.36</t>
  </si>
  <si>
    <t>0.16</t>
  </si>
  <si>
    <t>0.33</t>
  </si>
  <si>
    <t>0.21</t>
  </si>
  <si>
    <t>0.58</t>
  </si>
  <si>
    <t>0.42</t>
  </si>
  <si>
    <t>Começou triagem</t>
  </si>
  <si>
    <t>Não anotou quantas</t>
  </si>
  <si>
    <t xml:space="preserve">Finalizou triagem </t>
  </si>
  <si>
    <t>Chegada de exames pra triagem/técnica faz alguma coisa no computador(a moça que colhe)</t>
  </si>
  <si>
    <t>Começou de fato a triagem</t>
  </si>
  <si>
    <t>finalizou processo de triagem</t>
  </si>
  <si>
    <t>Chegada amostra própria</t>
  </si>
  <si>
    <t>Intervalo em min</t>
  </si>
  <si>
    <t>Finalizada triagem/etiquetagem/transporte da amostra própria</t>
  </si>
  <si>
    <t>Chegou pedido e ela levantou pra coletar ela mesmo</t>
  </si>
  <si>
    <t>Finalizou processo dessa coleta</t>
  </si>
  <si>
    <t>Chegou com o pedido que ela mesmo coletou</t>
  </si>
  <si>
    <t>Finalizou triagem desse que ela mesmo coletou</t>
  </si>
  <si>
    <t>Não cosegui pegar horário que finalizou acima</t>
  </si>
  <si>
    <t>Chegou amostra própria</t>
  </si>
  <si>
    <t>Chegada com amostra que são externas</t>
  </si>
  <si>
    <t>Levou a que recebeu e as outras de 24 pacientes que havia recebido antes</t>
  </si>
  <si>
    <t>Finalizou triagem/conferência/transp pra process amostras externas</t>
  </si>
  <si>
    <t>chegou pedido telefonema</t>
  </si>
  <si>
    <t>Intervalo em seg</t>
  </si>
  <si>
    <t>1 funcionária</t>
  </si>
  <si>
    <t>inicio tentativa de  ligação</t>
  </si>
  <si>
    <t>Não atendeu e ela desistiu</t>
  </si>
  <si>
    <t>ligou</t>
  </si>
  <si>
    <t>finaliziu ligaçao</t>
  </si>
  <si>
    <t>tentou ligar no outro de novo</t>
  </si>
  <si>
    <t>intervalo total seg</t>
  </si>
  <si>
    <t>Qtde</t>
  </si>
  <si>
    <t>Clinica</t>
  </si>
  <si>
    <t>Prescrição</t>
  </si>
  <si>
    <t>LiberacaoClinica</t>
  </si>
  <si>
    <t>Tempo total processo</t>
  </si>
  <si>
    <t>Tempo total em minutos</t>
  </si>
  <si>
    <t>Intervalos em min</t>
  </si>
  <si>
    <t>total pacientes</t>
  </si>
  <si>
    <t>PSU</t>
  </si>
  <si>
    <t>Intervalos</t>
  </si>
  <si>
    <t>Média</t>
  </si>
  <si>
    <t>random</t>
  </si>
  <si>
    <t>taxa de chegada de pacientes/ seg</t>
  </si>
  <si>
    <t>EMCR</t>
  </si>
  <si>
    <t>CONS</t>
  </si>
  <si>
    <t>CTI1</t>
  </si>
  <si>
    <t>AVC</t>
  </si>
  <si>
    <t>UCP</t>
  </si>
  <si>
    <t>3B</t>
  </si>
  <si>
    <t>4A</t>
  </si>
  <si>
    <t>PAF</t>
  </si>
  <si>
    <t>4B</t>
  </si>
  <si>
    <t>CTI3</t>
  </si>
  <si>
    <t>EMCL</t>
  </si>
  <si>
    <t>ARNI</t>
  </si>
  <si>
    <t>ACIR</t>
  </si>
  <si>
    <t>PFM</t>
  </si>
  <si>
    <t>CIPG</t>
  </si>
  <si>
    <t>SA</t>
  </si>
  <si>
    <t>5A</t>
  </si>
  <si>
    <t>3ANN</t>
  </si>
  <si>
    <t>2A</t>
  </si>
  <si>
    <t>SRET</t>
  </si>
  <si>
    <t>CTI2</t>
  </si>
  <si>
    <t>3AMC</t>
  </si>
  <si>
    <t>BLOC</t>
  </si>
  <si>
    <t>PAM</t>
  </si>
  <si>
    <t>6B</t>
  </si>
  <si>
    <t>6AIF</t>
  </si>
  <si>
    <t>6ACP</t>
  </si>
  <si>
    <t>setembro</t>
  </si>
  <si>
    <t>pedidos</t>
  </si>
  <si>
    <t>recoletas</t>
  </si>
  <si>
    <t>taxa de recoleta</t>
  </si>
  <si>
    <t>set</t>
  </si>
  <si>
    <t>agosto</t>
  </si>
  <si>
    <t>julho</t>
  </si>
  <si>
    <t>junho</t>
  </si>
  <si>
    <t>maio</t>
  </si>
  <si>
    <t>abril</t>
  </si>
  <si>
    <t>março</t>
  </si>
  <si>
    <t>fevereiro</t>
  </si>
  <si>
    <t>janeiro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</si>
</sst>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hh:mm"/>
    <numFmt numFmtId="165" formatCode="hh:mm:ss"/>
    <numFmt numFmtId="166" formatCode="HH:mm:ss"/>
    <numFmt numFmtId="167" formatCode="#,##0.000"/>
    <numFmt numFmtId="168" formatCode="0.00000"/>
    <numFmt numFmtId="169" formatCode="#,##0.00000"/>
    <numFmt numFmtId="170" formatCode="[hh]:mm:ss"/>
    <numFmt numFmtId="171" formatCode="d/m/yyyy hh:mm:ss"/>
  </numFmts>
  <fonts count="13">
    <font>
      <sz val="11.0"/>
      <color theme="1"/>
      <name val="Aptos Narrow"/>
      <scheme val="minor"/>
    </font>
    <font>
      <b/>
      <sz val="11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/>
    <font>
      <b/>
      <color theme="1"/>
      <name val="Aptos Narrow"/>
      <scheme val="minor"/>
    </font>
    <font>
      <sz val="11.0"/>
      <color theme="1"/>
      <name val="Arial"/>
    </font>
    <font>
      <color rgb="FFFFFFFF"/>
      <name val="&quot;Times New Roman&quot;"/>
    </font>
    <font>
      <color rgb="FF000000"/>
      <name val="&quot;Times New Roman&quot;"/>
    </font>
    <font>
      <sz val="11.0"/>
      <color rgb="FF000000"/>
      <name val="Calibri"/>
    </font>
    <font>
      <sz val="11.0"/>
      <color rgb="FF000000"/>
      <name val="&quot;Aptos Narrow&quot;"/>
    </font>
  </fonts>
  <fills count="2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A6C9EB"/>
        <bgColor rgb="FFA6C9EB"/>
      </patternFill>
    </fill>
    <fill>
      <patternFill patternType="solid">
        <fgColor rgb="FFF6C6AC"/>
        <bgColor rgb="FFF6C6AC"/>
      </patternFill>
    </fill>
    <fill>
      <patternFill patternType="solid">
        <fgColor rgb="FF84E291"/>
        <bgColor rgb="FF84E291"/>
      </patternFill>
    </fill>
    <fill>
      <patternFill patternType="solid">
        <fgColor rgb="FFE49EDD"/>
        <bgColor rgb="FFE49EDD"/>
      </patternFill>
    </fill>
    <fill>
      <patternFill patternType="solid">
        <fgColor rgb="FFAEAEAE"/>
        <bgColor rgb="FFAEAEAE"/>
      </patternFill>
    </fill>
    <fill>
      <patternFill patternType="solid">
        <fgColor rgb="FF808080"/>
        <bgColor rgb="FF808080"/>
      </patternFill>
    </fill>
    <fill>
      <patternFill patternType="solid">
        <fgColor rgb="FFFFFFE0"/>
        <bgColor rgb="FFFFFFE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/>
    </xf>
    <xf borderId="1" fillId="0" fontId="3" numFmtId="20" xfId="0" applyAlignment="1" applyBorder="1" applyFont="1" applyNumberFormat="1">
      <alignment horizontal="center"/>
    </xf>
    <xf borderId="1" fillId="0" fontId="4" numFmtId="20" xfId="0" applyAlignment="1" applyBorder="1" applyFont="1" applyNumberFormat="1">
      <alignment horizontal="center"/>
    </xf>
    <xf borderId="1" fillId="0" fontId="4" numFmtId="3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/>
    </xf>
    <xf borderId="1" fillId="0" fontId="4" numFmtId="4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/>
    </xf>
    <xf borderId="2" fillId="4" fontId="2" numFmtId="0" xfId="0" applyAlignment="1" applyBorder="1" applyFill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1" fillId="4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166" xfId="0" applyAlignment="1" applyBorder="1" applyFont="1" applyNumberFormat="1">
      <alignment horizontal="center" readingOrder="0"/>
    </xf>
    <xf borderId="1" fillId="0" fontId="5" numFmtId="4" xfId="0" applyAlignment="1" applyBorder="1" applyFont="1" applyNumberFormat="1">
      <alignment horizontal="center" readingOrder="0"/>
    </xf>
    <xf borderId="2" fillId="5" fontId="2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0" fontId="4" numFmtId="166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2" xfId="0" applyAlignment="1" applyBorder="1" applyFont="1" applyNumberFormat="1">
      <alignment horizontal="center"/>
    </xf>
    <xf borderId="1" fillId="6" fontId="2" numFmtId="0" xfId="0" applyAlignment="1" applyBorder="1" applyFill="1" applyFont="1">
      <alignment horizontal="center" readingOrder="0"/>
    </xf>
    <xf borderId="1" fillId="0" fontId="4" numFmtId="21" xfId="0" applyAlignment="1" applyBorder="1" applyFont="1" applyNumberFormat="1">
      <alignment horizontal="center"/>
    </xf>
    <xf borderId="1" fillId="0" fontId="5" numFmtId="2" xfId="0" applyAlignment="1" applyBorder="1" applyFont="1" applyNumberForma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0" fontId="4" numFmtId="167" xfId="0" applyAlignment="1" applyBorder="1" applyFont="1" applyNumberForma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0" fontId="5" numFmtId="3" xfId="0" applyAlignment="1" applyBorder="1" applyFont="1" applyNumberForma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1" fillId="9" fontId="7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10" fontId="5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5" fillId="11" fontId="5" numFmtId="0" xfId="0" applyAlignment="1" applyBorder="1" applyFill="1" applyFont="1">
      <alignment horizontal="center" readingOrder="0"/>
    </xf>
    <xf borderId="6" fillId="0" fontId="6" numFmtId="0" xfId="0" applyBorder="1" applyFont="1"/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8" fillId="0" fontId="4" numFmtId="2" xfId="0" applyBorder="1" applyFont="1" applyNumberFormat="1"/>
    <xf borderId="7" fillId="0" fontId="4" numFmtId="0" xfId="0" applyBorder="1" applyFont="1"/>
    <xf borderId="8" fillId="0" fontId="4" numFmtId="4" xfId="0" applyBorder="1" applyFont="1" applyNumberFormat="1"/>
    <xf borderId="0" fillId="0" fontId="4" numFmtId="0" xfId="0" applyFont="1"/>
    <xf borderId="9" fillId="0" fontId="4" numFmtId="0" xfId="0" applyBorder="1" applyFont="1"/>
    <xf borderId="10" fillId="0" fontId="4" numFmtId="4" xfId="0" applyBorder="1" applyFont="1" applyNumberFormat="1"/>
    <xf borderId="9" fillId="0" fontId="5" numFmtId="0" xfId="0" applyAlignment="1" applyBorder="1" applyFont="1">
      <alignment readingOrder="0"/>
    </xf>
    <xf borderId="10" fillId="0" fontId="4" numFmtId="2" xfId="0" applyBorder="1" applyFont="1" applyNumberFormat="1"/>
    <xf borderId="5" fillId="11" fontId="5" numFmtId="0" xfId="0" applyAlignment="1" applyBorder="1" applyFont="1">
      <alignment readingOrder="0"/>
    </xf>
    <xf borderId="10" fillId="0" fontId="4" numFmtId="168" xfId="0" applyBorder="1" applyFont="1" applyNumberFormat="1"/>
    <xf borderId="8" fillId="0" fontId="4" numFmtId="169" xfId="0" applyBorder="1" applyFont="1" applyNumberFormat="1"/>
    <xf borderId="10" fillId="0" fontId="4" numFmtId="169" xfId="0" applyBorder="1" applyFont="1" applyNumberFormat="1"/>
    <xf borderId="0" fillId="11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4" numFmtId="166" xfId="0" applyFont="1" applyNumberFormat="1"/>
    <xf borderId="0" fillId="0" fontId="4" numFmtId="3" xfId="0" applyFont="1" applyNumberFormat="1"/>
    <xf borderId="0" fillId="0" fontId="5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0" fillId="0" fontId="5" numFmtId="3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4" numFmtId="2" xfId="0" applyFont="1" applyNumberFormat="1"/>
    <xf borderId="0" fillId="0" fontId="5" numFmtId="165" xfId="0" applyAlignment="1" applyFont="1" applyNumberFormat="1">
      <alignment readingOrder="0"/>
    </xf>
    <xf borderId="0" fillId="0" fontId="5" numFmtId="170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5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0" fillId="0" fontId="3" numFmtId="21" xfId="0" applyFont="1" applyNumberFormat="1"/>
    <xf borderId="0" fillId="12" fontId="4" numFmtId="0" xfId="0" applyFill="1" applyFont="1"/>
    <xf borderId="0" fillId="0" fontId="4" numFmtId="21" xfId="0" applyFont="1" applyNumberFormat="1"/>
    <xf borderId="0" fillId="13" fontId="4" numFmtId="0" xfId="0" applyFill="1" applyFont="1"/>
    <xf borderId="0" fillId="13" fontId="5" numFmtId="0" xfId="0" applyAlignment="1" applyFont="1">
      <alignment readingOrder="0"/>
    </xf>
    <xf borderId="0" fillId="14" fontId="4" numFmtId="0" xfId="0" applyFill="1" applyFont="1"/>
    <xf borderId="12" fillId="0" fontId="5" numFmtId="0" xfId="0" applyAlignment="1" applyBorder="1" applyFont="1">
      <alignment readingOrder="0"/>
    </xf>
    <xf borderId="12" fillId="0" fontId="4" numFmtId="21" xfId="0" applyBorder="1" applyFont="1" applyNumberFormat="1"/>
    <xf borderId="0" fillId="0" fontId="4" numFmtId="165" xfId="0" applyFont="1" applyNumberFormat="1"/>
    <xf borderId="0" fillId="0" fontId="5" numFmtId="2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13" fillId="5" fontId="3" numFmtId="21" xfId="0" applyAlignment="1" applyBorder="1" applyFont="1" applyNumberFormat="1">
      <alignment horizontal="right" vertical="bottom"/>
    </xf>
    <xf borderId="14" fillId="5" fontId="3" numFmtId="0" xfId="0" applyAlignment="1" applyBorder="1" applyFont="1">
      <alignment vertical="bottom"/>
    </xf>
    <xf borderId="15" fillId="5" fontId="3" numFmtId="21" xfId="0" applyAlignment="1" applyBorder="1" applyFont="1" applyNumberFormat="1">
      <alignment horizontal="right" vertical="bottom"/>
    </xf>
    <xf borderId="16" fillId="5" fontId="3" numFmtId="0" xfId="0" applyAlignment="1" applyBorder="1" applyFont="1">
      <alignment vertical="bottom"/>
    </xf>
    <xf borderId="13" fillId="15" fontId="3" numFmtId="21" xfId="0" applyAlignment="1" applyBorder="1" applyFill="1" applyFont="1" applyNumberFormat="1">
      <alignment horizontal="right" vertical="bottom"/>
    </xf>
    <xf borderId="14" fillId="15" fontId="3" numFmtId="0" xfId="0" applyAlignment="1" applyBorder="1" applyFont="1">
      <alignment vertical="bottom"/>
    </xf>
    <xf borderId="15" fillId="15" fontId="3" numFmtId="21" xfId="0" applyAlignment="1" applyBorder="1" applyFont="1" applyNumberFormat="1">
      <alignment horizontal="right" vertical="bottom"/>
    </xf>
    <xf borderId="16" fillId="15" fontId="3" numFmtId="0" xfId="0" applyAlignment="1" applyBorder="1" applyFont="1">
      <alignment vertical="bottom"/>
    </xf>
    <xf borderId="13" fillId="16" fontId="3" numFmtId="21" xfId="0" applyAlignment="1" applyBorder="1" applyFill="1" applyFont="1" applyNumberFormat="1">
      <alignment horizontal="right" vertical="bottom"/>
    </xf>
    <xf borderId="14" fillId="16" fontId="3" numFmtId="0" xfId="0" applyAlignment="1" applyBorder="1" applyFont="1">
      <alignment vertical="bottom"/>
    </xf>
    <xf borderId="15" fillId="16" fontId="3" numFmtId="21" xfId="0" applyAlignment="1" applyBorder="1" applyFont="1" applyNumberFormat="1">
      <alignment horizontal="right" vertical="bottom"/>
    </xf>
    <xf borderId="16" fillId="16" fontId="3" numFmtId="0" xfId="0" applyAlignment="1" applyBorder="1" applyFont="1">
      <alignment vertical="bottom"/>
    </xf>
    <xf borderId="13" fillId="17" fontId="3" numFmtId="21" xfId="0" applyAlignment="1" applyBorder="1" applyFill="1" applyFont="1" applyNumberFormat="1">
      <alignment horizontal="right" vertical="bottom"/>
    </xf>
    <xf borderId="14" fillId="17" fontId="3" numFmtId="0" xfId="0" applyAlignment="1" applyBorder="1" applyFont="1">
      <alignment vertical="bottom"/>
    </xf>
    <xf borderId="15" fillId="17" fontId="3" numFmtId="21" xfId="0" applyAlignment="1" applyBorder="1" applyFont="1" applyNumberFormat="1">
      <alignment horizontal="right" vertical="bottom"/>
    </xf>
    <xf borderId="16" fillId="17" fontId="3" numFmtId="0" xfId="0" applyAlignment="1" applyBorder="1" applyFont="1">
      <alignment vertical="bottom"/>
    </xf>
    <xf borderId="13" fillId="18" fontId="3" numFmtId="21" xfId="0" applyAlignment="1" applyBorder="1" applyFill="1" applyFont="1" applyNumberFormat="1">
      <alignment horizontal="right" vertical="bottom"/>
    </xf>
    <xf borderId="14" fillId="18" fontId="3" numFmtId="0" xfId="0" applyAlignment="1" applyBorder="1" applyFont="1">
      <alignment vertical="bottom"/>
    </xf>
    <xf borderId="15" fillId="18" fontId="3" numFmtId="21" xfId="0" applyAlignment="1" applyBorder="1" applyFont="1" applyNumberFormat="1">
      <alignment horizontal="right" vertical="bottom"/>
    </xf>
    <xf borderId="16" fillId="18" fontId="3" numFmtId="0" xfId="0" applyAlignment="1" applyBorder="1" applyFont="1">
      <alignment vertical="bottom"/>
    </xf>
    <xf borderId="13" fillId="19" fontId="3" numFmtId="21" xfId="0" applyAlignment="1" applyBorder="1" applyFill="1" applyFont="1" applyNumberFormat="1">
      <alignment horizontal="right" vertical="bottom"/>
    </xf>
    <xf borderId="14" fillId="19" fontId="3" numFmtId="0" xfId="0" applyAlignment="1" applyBorder="1" applyFont="1">
      <alignment vertical="bottom"/>
    </xf>
    <xf borderId="15" fillId="19" fontId="3" numFmtId="21" xfId="0" applyAlignment="1" applyBorder="1" applyFont="1" applyNumberFormat="1">
      <alignment horizontal="right" vertical="bottom"/>
    </xf>
    <xf borderId="16" fillId="19" fontId="3" numFmtId="0" xfId="0" applyAlignment="1" applyBorder="1" applyFont="1">
      <alignment vertical="bottom"/>
    </xf>
    <xf borderId="0" fillId="0" fontId="8" numFmtId="21" xfId="0" applyAlignment="1" applyFont="1" applyNumberFormat="1">
      <alignment readingOrder="0"/>
    </xf>
    <xf borderId="1" fillId="0" fontId="3" numFmtId="0" xfId="0" applyAlignment="1" applyBorder="1" applyFont="1">
      <alignment horizontal="center" vertical="center"/>
    </xf>
    <xf borderId="0" fillId="0" fontId="4" numFmtId="1" xfId="0" applyFont="1" applyNumberFormat="1"/>
    <xf borderId="0" fillId="0" fontId="4" numFmtId="20" xfId="0" applyFont="1" applyNumberFormat="1"/>
    <xf borderId="17" fillId="20" fontId="9" numFmtId="0" xfId="0" applyAlignment="1" applyBorder="1" applyFill="1" applyFont="1">
      <alignment horizontal="center" readingOrder="0"/>
    </xf>
    <xf borderId="17" fillId="14" fontId="10" numFmtId="0" xfId="0" applyAlignment="1" applyBorder="1" applyFont="1">
      <alignment horizontal="right" readingOrder="0"/>
    </xf>
    <xf borderId="17" fillId="14" fontId="10" numFmtId="0" xfId="0" applyAlignment="1" applyBorder="1" applyFont="1">
      <alignment horizontal="left" readingOrder="0"/>
    </xf>
    <xf borderId="17" fillId="14" fontId="10" numFmtId="171" xfId="0" applyAlignment="1" applyBorder="1" applyFont="1" applyNumberFormat="1">
      <alignment horizontal="left" readingOrder="0"/>
    </xf>
    <xf borderId="0" fillId="0" fontId="11" numFmtId="0" xfId="0" applyAlignment="1" applyFont="1">
      <alignment readingOrder="0" shrinkToFit="0" vertical="bottom" wrapText="0"/>
    </xf>
    <xf borderId="1" fillId="3" fontId="5" numFmtId="0" xfId="0" applyAlignment="1" applyBorder="1" applyFont="1">
      <alignment readingOrder="0"/>
    </xf>
    <xf borderId="0" fillId="12" fontId="5" numFmtId="0" xfId="0" applyAlignment="1" applyFont="1">
      <alignment readingOrder="0"/>
    </xf>
    <xf borderId="1" fillId="0" fontId="12" numFmtId="0" xfId="0" applyAlignment="1" applyBorder="1" applyFont="1">
      <alignment horizontal="right" readingOrder="0" vertical="bottom"/>
    </xf>
    <xf borderId="17" fillId="21" fontId="10" numFmtId="0" xfId="0" applyAlignment="1" applyBorder="1" applyFill="1" applyFont="1">
      <alignment horizontal="right" readingOrder="0"/>
    </xf>
    <xf borderId="17" fillId="21" fontId="10" numFmtId="0" xfId="0" applyAlignment="1" applyBorder="1" applyFont="1">
      <alignment horizontal="left"/>
    </xf>
    <xf borderId="1" fillId="0" fontId="1" numFmtId="0" xfId="0" applyAlignment="1" applyBorder="1" applyFont="1">
      <alignment horizontal="center" vertical="center"/>
    </xf>
    <xf borderId="0" fillId="0" fontId="4" numFmtId="169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2" max="2" width="22.38"/>
  </cols>
  <sheetData>
    <row r="2">
      <c r="B2" s="1" t="s">
        <v>0</v>
      </c>
      <c r="C2" s="2" t="s">
        <v>1</v>
      </c>
      <c r="D2" s="2" t="s">
        <v>2</v>
      </c>
    </row>
    <row r="3">
      <c r="B3" s="3">
        <v>0.3590277777777778</v>
      </c>
      <c r="C3" s="4">
        <v>0.006249999999999978</v>
      </c>
      <c r="D3" s="5">
        <v>8.999999999999968</v>
      </c>
    </row>
    <row r="4">
      <c r="B4" s="3">
        <v>0.36527777777777776</v>
      </c>
      <c r="C4" s="4">
        <v>6.94444444444442E-4</v>
      </c>
      <c r="D4" s="5">
        <v>0.9999999999999964</v>
      </c>
    </row>
    <row r="5">
      <c r="B5" s="3">
        <v>0.3659722222222222</v>
      </c>
      <c r="C5" s="4">
        <v>0.0027777777777778234</v>
      </c>
      <c r="D5" s="5">
        <v>4.000000000000066</v>
      </c>
    </row>
    <row r="6">
      <c r="B6" s="3">
        <v>0.36875</v>
      </c>
      <c r="C6" s="4">
        <v>0.002777777777777768</v>
      </c>
      <c r="D6" s="5">
        <v>3.999999999999986</v>
      </c>
    </row>
    <row r="7">
      <c r="B7" s="3">
        <v>0.3715277777777778</v>
      </c>
      <c r="C7" s="4">
        <v>0.008333333333333304</v>
      </c>
      <c r="D7" s="5">
        <v>11.999999999999957</v>
      </c>
    </row>
    <row r="8">
      <c r="B8" s="3">
        <v>0.3798611111111111</v>
      </c>
      <c r="C8" s="4">
        <v>0.0</v>
      </c>
      <c r="D8" s="5">
        <v>0.0</v>
      </c>
    </row>
    <row r="9">
      <c r="B9" s="3">
        <v>0.3798611111111111</v>
      </c>
      <c r="C9" s="4">
        <v>0.011111111111111127</v>
      </c>
      <c r="D9" s="5">
        <v>16.00000000000002</v>
      </c>
    </row>
    <row r="10">
      <c r="B10" s="3">
        <v>0.3909722222222222</v>
      </c>
      <c r="C10" s="4">
        <v>0.007638888888888917</v>
      </c>
      <c r="D10" s="5">
        <v>11.00000000000004</v>
      </c>
    </row>
    <row r="11">
      <c r="B11" s="3">
        <v>0.39861111111111114</v>
      </c>
      <c r="C11" s="4">
        <v>6.94444444444442E-4</v>
      </c>
      <c r="D11" s="5">
        <v>0.9999999999999964</v>
      </c>
    </row>
    <row r="12">
      <c r="B12" s="3">
        <v>0.3993055555555556</v>
      </c>
      <c r="C12" s="4">
        <v>0.004861111111111094</v>
      </c>
      <c r="D12" s="5">
        <v>6.999999999999975</v>
      </c>
    </row>
    <row r="13">
      <c r="B13" s="3">
        <v>0.4041666666666667</v>
      </c>
      <c r="C13" s="4">
        <v>0.002777777777777768</v>
      </c>
      <c r="D13" s="5">
        <v>3.999999999999986</v>
      </c>
    </row>
    <row r="14">
      <c r="B14" s="3">
        <v>0.40694444444444444</v>
      </c>
      <c r="C14" s="4">
        <v>0.00347222222222221</v>
      </c>
      <c r="D14" s="5">
        <v>4.999999999999982</v>
      </c>
    </row>
    <row r="15">
      <c r="B15" s="3">
        <v>0.41041666666666665</v>
      </c>
      <c r="C15" s="4">
        <v>0.002083333333333326</v>
      </c>
      <c r="D15" s="5">
        <v>2.9999999999999893</v>
      </c>
    </row>
    <row r="16">
      <c r="B16" s="3">
        <v>0.4125</v>
      </c>
      <c r="C16" s="4">
        <v>0.004166666666666707</v>
      </c>
      <c r="D16" s="5">
        <v>6.000000000000059</v>
      </c>
    </row>
    <row r="17">
      <c r="B17" s="3">
        <v>0.4166666666666667</v>
      </c>
      <c r="C17" s="4">
        <v>0.006249999999999978</v>
      </c>
      <c r="D17" s="5">
        <v>8.999999999999968</v>
      </c>
    </row>
    <row r="18">
      <c r="B18" s="3">
        <v>0.42291666666666666</v>
      </c>
      <c r="C18" s="4">
        <v>0.005555555555555536</v>
      </c>
      <c r="D18" s="5">
        <v>7.999999999999972</v>
      </c>
    </row>
    <row r="19">
      <c r="B19" s="3">
        <v>0.4284722222222222</v>
      </c>
      <c r="C19" s="4">
        <v>0.0027777777777778234</v>
      </c>
      <c r="D19" s="5">
        <v>4.000000000000066</v>
      </c>
    </row>
    <row r="20">
      <c r="B20" s="3">
        <v>0.43125</v>
      </c>
      <c r="C20" s="4">
        <v>0.001388888888888884</v>
      </c>
      <c r="D20" s="5">
        <v>1.999999999999993</v>
      </c>
    </row>
    <row r="21">
      <c r="B21" s="3">
        <v>0.4326388888888889</v>
      </c>
      <c r="C21" s="4">
        <v>0.002083333333333326</v>
      </c>
      <c r="D21" s="5">
        <v>2.9999999999999893</v>
      </c>
    </row>
    <row r="22">
      <c r="B22" s="3">
        <v>0.43472222222222223</v>
      </c>
      <c r="C22" s="4">
        <v>0.002083333333333326</v>
      </c>
      <c r="D22" s="5">
        <v>2.9999999999999893</v>
      </c>
    </row>
    <row r="23">
      <c r="B23" s="3">
        <v>0.43680555555555556</v>
      </c>
      <c r="C23" s="4">
        <v>0.002083333333333326</v>
      </c>
      <c r="D23" s="5">
        <v>2.9999999999999893</v>
      </c>
    </row>
    <row r="24">
      <c r="B24" s="3">
        <v>0.4388888888888889</v>
      </c>
      <c r="C24" s="4">
        <v>0.005555555555555536</v>
      </c>
      <c r="D24" s="5">
        <v>7.999999999999972</v>
      </c>
    </row>
    <row r="25">
      <c r="B25" s="3">
        <v>0.4444444444444444</v>
      </c>
      <c r="C25" s="4">
        <v>6.94444444444442E-4</v>
      </c>
      <c r="D25" s="5">
        <v>0.9999999999999964</v>
      </c>
    </row>
    <row r="26">
      <c r="B26" s="3">
        <v>0.44513888888888886</v>
      </c>
      <c r="C26" s="4">
        <v>0.0</v>
      </c>
      <c r="D26" s="5">
        <v>0.0</v>
      </c>
    </row>
    <row r="27">
      <c r="B27" s="3">
        <v>0.44513888888888886</v>
      </c>
      <c r="C27" s="4">
        <v>0.0013888888888889395</v>
      </c>
      <c r="D27" s="5">
        <v>2.000000000000073</v>
      </c>
    </row>
    <row r="28">
      <c r="B28" s="3">
        <v>0.4465277777777778</v>
      </c>
      <c r="C28" s="4">
        <v>0.002777777777777768</v>
      </c>
      <c r="D28" s="5">
        <v>3.999999999999986</v>
      </c>
    </row>
    <row r="29">
      <c r="B29" s="3">
        <v>0.44930555555555557</v>
      </c>
      <c r="C29" s="4">
        <v>0.002083333333333326</v>
      </c>
      <c r="D29" s="5">
        <v>2.9999999999999893</v>
      </c>
    </row>
    <row r="30">
      <c r="B30" s="3">
        <v>0.4513888888888889</v>
      </c>
      <c r="C30" s="4">
        <v>0.0</v>
      </c>
      <c r="D30" s="5">
        <v>0.0</v>
      </c>
    </row>
    <row r="31">
      <c r="B31" s="3">
        <v>0.4513888888888889</v>
      </c>
      <c r="C31" s="4">
        <v>0.002083333333333326</v>
      </c>
      <c r="D31" s="5">
        <v>2.9999999999999893</v>
      </c>
    </row>
    <row r="32">
      <c r="B32" s="3">
        <v>0.4534722222222222</v>
      </c>
      <c r="C32" s="4">
        <v>0.002777777777777768</v>
      </c>
      <c r="D32" s="5">
        <v>3.999999999999986</v>
      </c>
    </row>
    <row r="33">
      <c r="B33" s="3">
        <v>0.45625</v>
      </c>
      <c r="C33" s="4">
        <v>0.00347222222222221</v>
      </c>
      <c r="D33" s="5">
        <v>4.999999999999982</v>
      </c>
    </row>
    <row r="34">
      <c r="B34" s="3">
        <v>0.4597222222222222</v>
      </c>
      <c r="C34" s="4">
        <v>6.94444444444442E-4</v>
      </c>
      <c r="D34" s="5">
        <v>0.9999999999999964</v>
      </c>
    </row>
    <row r="35">
      <c r="B35" s="3">
        <v>0.46041666666666664</v>
      </c>
      <c r="C35" s="4">
        <v>0.0013888888888889395</v>
      </c>
      <c r="D35" s="5">
        <v>2.000000000000073</v>
      </c>
    </row>
    <row r="36">
      <c r="B36" s="3">
        <v>0.4618055555555556</v>
      </c>
      <c r="C36" s="4">
        <v>6.94444444444442E-4</v>
      </c>
      <c r="D36" s="5">
        <v>0.9999999999999964</v>
      </c>
    </row>
    <row r="37">
      <c r="B37" s="3">
        <v>0.4625</v>
      </c>
      <c r="C37" s="4">
        <v>0.001388888888888884</v>
      </c>
      <c r="D37" s="5">
        <v>1.999999999999993</v>
      </c>
    </row>
    <row r="38">
      <c r="B38" s="3">
        <v>0.4638888888888889</v>
      </c>
      <c r="C38" s="4">
        <v>0.0</v>
      </c>
      <c r="D38" s="5">
        <v>0.0</v>
      </c>
    </row>
    <row r="39">
      <c r="B39" s="3">
        <v>0.4638888888888889</v>
      </c>
      <c r="C39" s="4">
        <v>0.002083333333333326</v>
      </c>
      <c r="D39" s="5">
        <v>2.9999999999999893</v>
      </c>
    </row>
    <row r="40">
      <c r="B40" s="3">
        <v>0.46597222222222223</v>
      </c>
      <c r="C40" s="4">
        <v>0.00347222222222221</v>
      </c>
      <c r="D40" s="5">
        <v>4.999999999999982</v>
      </c>
    </row>
    <row r="41">
      <c r="B41" s="3">
        <v>0.46944444444444444</v>
      </c>
      <c r="C41" s="6"/>
      <c r="D4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sheetData>
    <row r="2">
      <c r="B2" s="7" t="s">
        <v>3</v>
      </c>
      <c r="C2" s="7" t="s">
        <v>4</v>
      </c>
      <c r="D2" s="7" t="s">
        <v>1</v>
      </c>
      <c r="E2" s="7" t="s">
        <v>2</v>
      </c>
    </row>
    <row r="3">
      <c r="B3" s="8">
        <v>0.3548611111111111</v>
      </c>
      <c r="C3" s="8">
        <v>0.3597222222222222</v>
      </c>
      <c r="D3" s="9">
        <f t="shared" ref="D3:D17" si="1">C3-B3</f>
        <v>0.004861111111</v>
      </c>
      <c r="E3" s="10">
        <f t="shared" ref="E3:E17" si="2">D3*1440</f>
        <v>7</v>
      </c>
    </row>
    <row r="4">
      <c r="B4" s="8">
        <v>0.4376388888888889</v>
      </c>
      <c r="C4" s="11">
        <v>0.43975694444444446</v>
      </c>
      <c r="D4" s="12">
        <f t="shared" si="1"/>
        <v>0.002118055556</v>
      </c>
      <c r="E4" s="10">
        <f t="shared" si="2"/>
        <v>3.05</v>
      </c>
    </row>
    <row r="5">
      <c r="B5" s="8">
        <v>0.43975694444444446</v>
      </c>
      <c r="C5" s="11">
        <v>0.45108796296296294</v>
      </c>
      <c r="D5" s="12">
        <f t="shared" si="1"/>
        <v>0.01133101852</v>
      </c>
      <c r="E5" s="10">
        <f t="shared" si="2"/>
        <v>16.31666667</v>
      </c>
    </row>
    <row r="6">
      <c r="B6" s="8">
        <v>0.4510416666666667</v>
      </c>
      <c r="C6" s="11">
        <v>0.4575925925925926</v>
      </c>
      <c r="D6" s="12">
        <f t="shared" si="1"/>
        <v>0.006550925926</v>
      </c>
      <c r="E6" s="10">
        <f t="shared" si="2"/>
        <v>9.433333333</v>
      </c>
    </row>
    <row r="7">
      <c r="B7" s="8">
        <v>0.4575925925925926</v>
      </c>
      <c r="C7" s="11">
        <v>0.4620023148148148</v>
      </c>
      <c r="D7" s="12">
        <f t="shared" si="1"/>
        <v>0.004409722222</v>
      </c>
      <c r="E7" s="10">
        <f t="shared" si="2"/>
        <v>6.35</v>
      </c>
    </row>
    <row r="8">
      <c r="B8" s="8">
        <v>0.30625</v>
      </c>
      <c r="C8" s="8">
        <v>0.3104166666666667</v>
      </c>
      <c r="D8" s="9">
        <f t="shared" si="1"/>
        <v>0.004166666667</v>
      </c>
      <c r="E8" s="10">
        <f t="shared" si="2"/>
        <v>6</v>
      </c>
    </row>
    <row r="9">
      <c r="B9" s="8">
        <v>0.3104166666666667</v>
      </c>
      <c r="C9" s="11">
        <v>0.3159722222222222</v>
      </c>
      <c r="D9" s="12">
        <f t="shared" si="1"/>
        <v>0.005555555556</v>
      </c>
      <c r="E9" s="10">
        <f t="shared" si="2"/>
        <v>8</v>
      </c>
    </row>
    <row r="10">
      <c r="B10" s="8">
        <v>0.3159722222222222</v>
      </c>
      <c r="C10" s="11">
        <v>0.3268287037037037</v>
      </c>
      <c r="D10" s="12">
        <f t="shared" si="1"/>
        <v>0.01085648148</v>
      </c>
      <c r="E10" s="10">
        <f t="shared" si="2"/>
        <v>15.63333333</v>
      </c>
    </row>
    <row r="11">
      <c r="B11" s="8">
        <v>0.3268287037037037</v>
      </c>
      <c r="C11" s="11">
        <v>0.3308449074074074</v>
      </c>
      <c r="D11" s="12">
        <f t="shared" si="1"/>
        <v>0.004016203704</v>
      </c>
      <c r="E11" s="10">
        <f t="shared" si="2"/>
        <v>5.783333333</v>
      </c>
    </row>
    <row r="12">
      <c r="B12" s="8">
        <v>0.33055555555555555</v>
      </c>
      <c r="C12" s="11">
        <v>0.3368055555555556</v>
      </c>
      <c r="D12" s="12">
        <f t="shared" si="1"/>
        <v>0.00625</v>
      </c>
      <c r="E12" s="10">
        <f t="shared" si="2"/>
        <v>9</v>
      </c>
    </row>
    <row r="13">
      <c r="B13" s="8">
        <v>0.3368055555555556</v>
      </c>
      <c r="C13" s="11">
        <v>0.34511574074074075</v>
      </c>
      <c r="D13" s="12">
        <f t="shared" si="1"/>
        <v>0.008310185185</v>
      </c>
      <c r="E13" s="10">
        <f t="shared" si="2"/>
        <v>11.96666667</v>
      </c>
    </row>
    <row r="14">
      <c r="B14" s="8">
        <v>0.34511574074074075</v>
      </c>
      <c r="C14" s="11">
        <v>0.3590277777777778</v>
      </c>
      <c r="D14" s="12">
        <f t="shared" si="1"/>
        <v>0.01391203704</v>
      </c>
      <c r="E14" s="10">
        <f t="shared" si="2"/>
        <v>20.03333333</v>
      </c>
    </row>
    <row r="15">
      <c r="B15" s="8">
        <v>0.3955324074074074</v>
      </c>
      <c r="C15" s="11">
        <v>0.40673611111111113</v>
      </c>
      <c r="D15" s="12">
        <f t="shared" si="1"/>
        <v>0.0112037037</v>
      </c>
      <c r="E15" s="10">
        <f t="shared" si="2"/>
        <v>16.13333333</v>
      </c>
    </row>
    <row r="16">
      <c r="B16" s="8">
        <v>0.40673611111111113</v>
      </c>
      <c r="C16" s="11">
        <v>0.4204861111111111</v>
      </c>
      <c r="D16" s="12">
        <f t="shared" si="1"/>
        <v>0.01375</v>
      </c>
      <c r="E16" s="10">
        <f t="shared" si="2"/>
        <v>19.8</v>
      </c>
    </row>
    <row r="17">
      <c r="B17" s="8">
        <v>0.4204861111111111</v>
      </c>
      <c r="C17" s="8">
        <v>0.43724537037037037</v>
      </c>
      <c r="D17" s="9">
        <f t="shared" si="1"/>
        <v>0.01675925926</v>
      </c>
      <c r="E17" s="10">
        <f t="shared" si="2"/>
        <v>24.13333333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5</v>
      </c>
      <c r="B1" s="14"/>
      <c r="C1" s="14"/>
      <c r="D1" s="14"/>
      <c r="E1" s="15"/>
    </row>
    <row r="2">
      <c r="A2" s="16" t="s">
        <v>6</v>
      </c>
      <c r="B2" s="16" t="s">
        <v>3</v>
      </c>
      <c r="C2" s="16" t="s">
        <v>4</v>
      </c>
      <c r="D2" s="16" t="s">
        <v>7</v>
      </c>
      <c r="E2" s="16" t="s">
        <v>2</v>
      </c>
    </row>
    <row r="3">
      <c r="A3" s="17">
        <v>1.0</v>
      </c>
      <c r="B3" s="18">
        <v>0.4521759259259259</v>
      </c>
      <c r="C3" s="18">
        <v>0.4524768518518518</v>
      </c>
      <c r="D3" s="18">
        <f t="shared" ref="D3:D26" si="1">C3-B3</f>
        <v>0.0003009259259</v>
      </c>
      <c r="E3" s="19">
        <f t="shared" ref="E3:E26" si="2">D3*1440</f>
        <v>0.4333333333</v>
      </c>
    </row>
    <row r="4">
      <c r="A4" s="17">
        <v>2.0</v>
      </c>
      <c r="B4" s="18">
        <v>0.47006944444444443</v>
      </c>
      <c r="C4" s="18">
        <v>0.4706828703703704</v>
      </c>
      <c r="D4" s="18">
        <f t="shared" si="1"/>
        <v>0.0006134259259</v>
      </c>
      <c r="E4" s="19">
        <f t="shared" si="2"/>
        <v>0.8833333333</v>
      </c>
    </row>
    <row r="5">
      <c r="A5" s="17">
        <v>3.0</v>
      </c>
      <c r="B5" s="18">
        <v>0.47607638888888887</v>
      </c>
      <c r="C5" s="18">
        <v>0.4791666666666667</v>
      </c>
      <c r="D5" s="18">
        <f t="shared" si="1"/>
        <v>0.003090277778</v>
      </c>
      <c r="E5" s="19">
        <f t="shared" si="2"/>
        <v>4.45</v>
      </c>
    </row>
    <row r="6">
      <c r="A6" s="17">
        <v>4.0</v>
      </c>
      <c r="B6" s="18">
        <v>0.4855671296296296</v>
      </c>
      <c r="C6" s="18">
        <v>0.4857986111111111</v>
      </c>
      <c r="D6" s="18">
        <f t="shared" si="1"/>
        <v>0.0002314814815</v>
      </c>
      <c r="E6" s="19">
        <f t="shared" si="2"/>
        <v>0.3333333333</v>
      </c>
    </row>
    <row r="7">
      <c r="A7" s="17">
        <v>5.0</v>
      </c>
      <c r="B7" s="11">
        <v>0.36319444444444443</v>
      </c>
      <c r="C7" s="11">
        <v>0.3643287037037037</v>
      </c>
      <c r="D7" s="11">
        <f t="shared" si="1"/>
        <v>0.001134259259</v>
      </c>
      <c r="E7" s="19">
        <f t="shared" si="2"/>
        <v>1.633333333</v>
      </c>
    </row>
    <row r="8">
      <c r="A8" s="17">
        <v>6.0</v>
      </c>
      <c r="B8" s="11">
        <v>0.3648726851851852</v>
      </c>
      <c r="C8" s="11">
        <v>0.3653125</v>
      </c>
      <c r="D8" s="11">
        <f t="shared" si="1"/>
        <v>0.0004398148148</v>
      </c>
      <c r="E8" s="19">
        <f t="shared" si="2"/>
        <v>0.6333333333</v>
      </c>
    </row>
    <row r="9">
      <c r="A9" s="17">
        <v>7.0</v>
      </c>
      <c r="B9" s="11">
        <v>0.3894328703703704</v>
      </c>
      <c r="C9" s="11">
        <v>0.38993055555555556</v>
      </c>
      <c r="D9" s="11">
        <f t="shared" si="1"/>
        <v>0.0004976851852</v>
      </c>
      <c r="E9" s="19">
        <f t="shared" si="2"/>
        <v>0.7166666667</v>
      </c>
    </row>
    <row r="10">
      <c r="A10" s="17">
        <v>8.0</v>
      </c>
      <c r="B10" s="11">
        <v>0.45108796296296294</v>
      </c>
      <c r="C10" s="11">
        <v>0.45511574074074074</v>
      </c>
      <c r="D10" s="11">
        <f t="shared" si="1"/>
        <v>0.004027777778</v>
      </c>
      <c r="E10" s="19">
        <f t="shared" si="2"/>
        <v>5.8</v>
      </c>
    </row>
    <row r="11">
      <c r="A11" s="17">
        <v>9.0</v>
      </c>
      <c r="B11" s="11">
        <v>0.45913194444444444</v>
      </c>
      <c r="C11" s="11">
        <v>0.4600462962962963</v>
      </c>
      <c r="D11" s="11">
        <f t="shared" si="1"/>
        <v>0.0009143518519</v>
      </c>
      <c r="E11" s="19">
        <f t="shared" si="2"/>
        <v>1.316666667</v>
      </c>
    </row>
    <row r="12">
      <c r="A12" s="17">
        <v>10.0</v>
      </c>
      <c r="B12" s="11">
        <v>0.46524305555555556</v>
      </c>
      <c r="C12" s="11">
        <v>0.4673263888888889</v>
      </c>
      <c r="D12" s="11">
        <f t="shared" si="1"/>
        <v>0.002083333333</v>
      </c>
      <c r="E12" s="19">
        <f t="shared" si="2"/>
        <v>3</v>
      </c>
    </row>
    <row r="13">
      <c r="A13" s="17">
        <v>11.0</v>
      </c>
      <c r="B13" s="11">
        <v>0.45108796296296294</v>
      </c>
      <c r="C13" s="11">
        <v>0.45511574074074074</v>
      </c>
      <c r="D13" s="11">
        <f t="shared" si="1"/>
        <v>0.004027777778</v>
      </c>
      <c r="E13" s="19">
        <f t="shared" si="2"/>
        <v>5.8</v>
      </c>
    </row>
    <row r="14">
      <c r="A14" s="17">
        <v>12.0</v>
      </c>
      <c r="B14" s="11">
        <v>0.3110763888888889</v>
      </c>
      <c r="C14" s="11">
        <v>0.3119675925925926</v>
      </c>
      <c r="D14" s="11">
        <f t="shared" si="1"/>
        <v>0.0008912037037</v>
      </c>
      <c r="E14" s="19">
        <f t="shared" si="2"/>
        <v>1.283333333</v>
      </c>
    </row>
    <row r="15">
      <c r="A15" s="17">
        <v>13.0</v>
      </c>
      <c r="B15" s="11">
        <v>0.31622685185185184</v>
      </c>
      <c r="C15" s="11">
        <v>0.316875</v>
      </c>
      <c r="D15" s="11">
        <f t="shared" si="1"/>
        <v>0.0006481481481</v>
      </c>
      <c r="E15" s="19">
        <f t="shared" si="2"/>
        <v>0.9333333333</v>
      </c>
    </row>
    <row r="16">
      <c r="A16" s="17">
        <v>14.0</v>
      </c>
      <c r="B16" s="11">
        <v>0.3268287037037037</v>
      </c>
      <c r="C16" s="11">
        <v>0.32814814814814813</v>
      </c>
      <c r="D16" s="11">
        <f t="shared" si="1"/>
        <v>0.001319444444</v>
      </c>
      <c r="E16" s="19">
        <f t="shared" si="2"/>
        <v>1.9</v>
      </c>
    </row>
    <row r="17">
      <c r="A17" s="17">
        <v>15.0</v>
      </c>
      <c r="B17" s="11">
        <v>0.3308449074074074</v>
      </c>
      <c r="C17" s="8">
        <v>0.3368055555555556</v>
      </c>
      <c r="D17" s="8">
        <f t="shared" si="1"/>
        <v>0.005960648148</v>
      </c>
      <c r="E17" s="19">
        <f t="shared" si="2"/>
        <v>8.583333333</v>
      </c>
    </row>
    <row r="18">
      <c r="A18" s="17">
        <v>16.0</v>
      </c>
      <c r="B18" s="11">
        <v>0.34511574074074075</v>
      </c>
      <c r="C18" s="11">
        <v>0.3459027777777778</v>
      </c>
      <c r="D18" s="11">
        <f t="shared" si="1"/>
        <v>0.000787037037</v>
      </c>
      <c r="E18" s="19">
        <f t="shared" si="2"/>
        <v>1.133333333</v>
      </c>
    </row>
    <row r="19">
      <c r="A19" s="17">
        <v>17.0</v>
      </c>
      <c r="B19" s="11">
        <v>0.34715277777777775</v>
      </c>
      <c r="C19" s="11">
        <v>0.349837962962963</v>
      </c>
      <c r="D19" s="11">
        <f t="shared" si="1"/>
        <v>0.002685185185</v>
      </c>
      <c r="E19" s="19">
        <f t="shared" si="2"/>
        <v>3.866666667</v>
      </c>
    </row>
    <row r="20">
      <c r="A20" s="17">
        <v>18.0</v>
      </c>
      <c r="B20" s="11">
        <v>0.3590277777777778</v>
      </c>
      <c r="C20" s="11">
        <v>0.36018518518518516</v>
      </c>
      <c r="D20" s="11">
        <f t="shared" si="1"/>
        <v>0.001157407407</v>
      </c>
      <c r="E20" s="19">
        <f t="shared" si="2"/>
        <v>1.666666667</v>
      </c>
    </row>
    <row r="21">
      <c r="A21" s="17">
        <v>19.0</v>
      </c>
      <c r="B21" s="11">
        <v>0.36725694444444446</v>
      </c>
      <c r="C21" s="11">
        <v>0.36875</v>
      </c>
      <c r="D21" s="11">
        <f t="shared" si="1"/>
        <v>0.001493055556</v>
      </c>
      <c r="E21" s="19">
        <f t="shared" si="2"/>
        <v>2.15</v>
      </c>
    </row>
    <row r="22">
      <c r="A22" s="17">
        <v>20.0</v>
      </c>
      <c r="B22" s="11">
        <v>0.38863425925925926</v>
      </c>
      <c r="C22" s="11">
        <v>0.38939814814814816</v>
      </c>
      <c r="D22" s="11">
        <f t="shared" si="1"/>
        <v>0.0007638888889</v>
      </c>
      <c r="E22" s="19">
        <f t="shared" si="2"/>
        <v>1.1</v>
      </c>
    </row>
    <row r="23">
      <c r="A23" s="17">
        <v>21.0</v>
      </c>
      <c r="B23" s="11">
        <v>0.3955324074074074</v>
      </c>
      <c r="C23" s="11">
        <v>0.399837962962963</v>
      </c>
      <c r="D23" s="11">
        <f t="shared" si="1"/>
        <v>0.004305555556</v>
      </c>
      <c r="E23" s="19">
        <f t="shared" si="2"/>
        <v>6.2</v>
      </c>
    </row>
    <row r="24">
      <c r="A24" s="17">
        <v>22.0</v>
      </c>
      <c r="B24" s="11">
        <v>0.40673611111111113</v>
      </c>
      <c r="C24" s="11">
        <v>0.4141898148148148</v>
      </c>
      <c r="D24" s="11">
        <f t="shared" si="1"/>
        <v>0.007453703704</v>
      </c>
      <c r="E24" s="19">
        <f t="shared" si="2"/>
        <v>10.73333333</v>
      </c>
    </row>
    <row r="25">
      <c r="A25" s="17">
        <v>23.0</v>
      </c>
      <c r="B25" s="11">
        <v>0.4204861111111111</v>
      </c>
      <c r="C25" s="11">
        <v>0.4215277777777778</v>
      </c>
      <c r="D25" s="11">
        <f t="shared" si="1"/>
        <v>0.001041666667</v>
      </c>
      <c r="E25" s="19">
        <f t="shared" si="2"/>
        <v>1.5</v>
      </c>
    </row>
    <row r="26">
      <c r="A26" s="17">
        <v>24.0</v>
      </c>
      <c r="B26" s="11">
        <v>0.43724537037037037</v>
      </c>
      <c r="C26" s="11">
        <v>0.4392361111111111</v>
      </c>
      <c r="D26" s="11">
        <f t="shared" si="1"/>
        <v>0.001990740741</v>
      </c>
      <c r="E26" s="19">
        <f t="shared" si="2"/>
        <v>2.866666667</v>
      </c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3" max="3" width="19.25"/>
  </cols>
  <sheetData>
    <row r="1">
      <c r="A1" s="20" t="s">
        <v>8</v>
      </c>
      <c r="B1" s="14"/>
      <c r="C1" s="14"/>
      <c r="D1" s="14"/>
      <c r="E1" s="15"/>
    </row>
    <row r="2">
      <c r="A2" s="21" t="s">
        <v>9</v>
      </c>
      <c r="B2" s="21" t="s">
        <v>10</v>
      </c>
      <c r="C2" s="21" t="s">
        <v>11</v>
      </c>
      <c r="D2" s="21" t="s">
        <v>12</v>
      </c>
      <c r="E2" s="21" t="s">
        <v>13</v>
      </c>
      <c r="G2" s="20" t="s">
        <v>14</v>
      </c>
      <c r="H2" s="14"/>
      <c r="I2" s="14"/>
      <c r="J2" s="15"/>
    </row>
    <row r="3">
      <c r="A3" s="17">
        <v>1.0</v>
      </c>
      <c r="B3" s="18">
        <v>0.3229166666666667</v>
      </c>
      <c r="C3" s="18">
        <v>0.37777777777777777</v>
      </c>
      <c r="D3" s="22">
        <f t="shared" ref="D3:D37" si="1">C3-B3</f>
        <v>0.05486111111</v>
      </c>
      <c r="E3" s="5">
        <f t="shared" ref="E3:E37" si="2">D3*1440</f>
        <v>79</v>
      </c>
      <c r="G3" s="19" t="s">
        <v>15</v>
      </c>
      <c r="H3" s="19">
        <f>AVERAGE(E3:E37)</f>
        <v>38.28571429</v>
      </c>
      <c r="I3" s="23" t="s">
        <v>16</v>
      </c>
      <c r="J3" s="10">
        <f>LN((H3^2)/SQRT(H4^2 + H3^2))</f>
        <v>3.456669482</v>
      </c>
    </row>
    <row r="4">
      <c r="A4" s="6">
        <f t="shared" ref="A4:A37" si="3">A3+1</f>
        <v>2</v>
      </c>
      <c r="B4" s="18">
        <v>0.16666666666666666</v>
      </c>
      <c r="C4" s="18">
        <v>0.18125</v>
      </c>
      <c r="D4" s="22">
        <f t="shared" si="1"/>
        <v>0.01458333333</v>
      </c>
      <c r="E4" s="5">
        <f t="shared" si="2"/>
        <v>21</v>
      </c>
      <c r="G4" s="17" t="s">
        <v>17</v>
      </c>
      <c r="H4" s="6">
        <f>STDEV(E3:E37)</f>
        <v>25.8997745</v>
      </c>
      <c r="I4" s="23" t="s">
        <v>18</v>
      </c>
      <c r="J4" s="24">
        <f>SQRT(LN(1 + (H4^2)/(H3^2)))</f>
        <v>0.6138523435</v>
      </c>
    </row>
    <row r="5">
      <c r="A5" s="6">
        <f t="shared" si="3"/>
        <v>3</v>
      </c>
      <c r="B5" s="18">
        <v>0.38472222222222224</v>
      </c>
      <c r="C5" s="18">
        <v>0.3923611111111111</v>
      </c>
      <c r="D5" s="22">
        <f t="shared" si="1"/>
        <v>0.007638888889</v>
      </c>
      <c r="E5" s="5">
        <f t="shared" si="2"/>
        <v>11</v>
      </c>
    </row>
    <row r="6">
      <c r="A6" s="6">
        <f t="shared" si="3"/>
        <v>4</v>
      </c>
      <c r="B6" s="18">
        <v>0.14583333333333334</v>
      </c>
      <c r="C6" s="18">
        <v>0.18125</v>
      </c>
      <c r="D6" s="22">
        <f t="shared" si="1"/>
        <v>0.03541666667</v>
      </c>
      <c r="E6" s="5">
        <f t="shared" si="2"/>
        <v>51</v>
      </c>
    </row>
    <row r="7">
      <c r="A7" s="6">
        <f t="shared" si="3"/>
        <v>5</v>
      </c>
      <c r="B7" s="18">
        <v>0.1423611111111111</v>
      </c>
      <c r="C7" s="18">
        <v>0.18125</v>
      </c>
      <c r="D7" s="22">
        <f t="shared" si="1"/>
        <v>0.03888888889</v>
      </c>
      <c r="E7" s="5">
        <f t="shared" si="2"/>
        <v>56</v>
      </c>
    </row>
    <row r="8">
      <c r="A8" s="6">
        <f t="shared" si="3"/>
        <v>6</v>
      </c>
      <c r="B8" s="18">
        <v>0.1423611111111111</v>
      </c>
      <c r="C8" s="18">
        <v>0.18125</v>
      </c>
      <c r="D8" s="22">
        <f t="shared" si="1"/>
        <v>0.03888888889</v>
      </c>
      <c r="E8" s="5">
        <f t="shared" si="2"/>
        <v>56</v>
      </c>
    </row>
    <row r="9">
      <c r="A9" s="6">
        <f t="shared" si="3"/>
        <v>7</v>
      </c>
      <c r="B9" s="18">
        <v>0.3840277777777778</v>
      </c>
      <c r="C9" s="18">
        <v>0.3923611111111111</v>
      </c>
      <c r="D9" s="22">
        <f t="shared" si="1"/>
        <v>0.008333333333</v>
      </c>
      <c r="E9" s="5">
        <f t="shared" si="2"/>
        <v>12</v>
      </c>
    </row>
    <row r="10">
      <c r="A10" s="6">
        <f t="shared" si="3"/>
        <v>8</v>
      </c>
      <c r="B10" s="18">
        <v>0.3888888888888889</v>
      </c>
      <c r="C10" s="18">
        <v>0.4125</v>
      </c>
      <c r="D10" s="22">
        <f t="shared" si="1"/>
        <v>0.02361111111</v>
      </c>
      <c r="E10" s="5">
        <f t="shared" si="2"/>
        <v>34</v>
      </c>
    </row>
    <row r="11">
      <c r="A11" s="6">
        <f t="shared" si="3"/>
        <v>9</v>
      </c>
      <c r="B11" s="18">
        <v>0.16666666666666666</v>
      </c>
      <c r="C11" s="18">
        <v>0.18194444444444444</v>
      </c>
      <c r="D11" s="22">
        <f t="shared" si="1"/>
        <v>0.01527777778</v>
      </c>
      <c r="E11" s="5">
        <f t="shared" si="2"/>
        <v>22</v>
      </c>
    </row>
    <row r="12">
      <c r="A12" s="6">
        <f t="shared" si="3"/>
        <v>10</v>
      </c>
      <c r="B12" s="18">
        <v>0.6993055555555555</v>
      </c>
      <c r="C12" s="18">
        <v>0.7055555555555556</v>
      </c>
      <c r="D12" s="22">
        <f t="shared" si="1"/>
        <v>0.00625</v>
      </c>
      <c r="E12" s="5">
        <f t="shared" si="2"/>
        <v>9</v>
      </c>
    </row>
    <row r="13">
      <c r="A13" s="6">
        <f t="shared" si="3"/>
        <v>11</v>
      </c>
      <c r="B13" s="18">
        <v>0.16666666666666666</v>
      </c>
      <c r="C13" s="18">
        <v>0.18263888888888888</v>
      </c>
      <c r="D13" s="22">
        <f t="shared" si="1"/>
        <v>0.01597222222</v>
      </c>
      <c r="E13" s="5">
        <f t="shared" si="2"/>
        <v>23</v>
      </c>
    </row>
    <row r="14">
      <c r="A14" s="6">
        <f t="shared" si="3"/>
        <v>12</v>
      </c>
      <c r="B14" s="18">
        <v>0.16666666666666666</v>
      </c>
      <c r="C14" s="18">
        <v>0.18194444444444444</v>
      </c>
      <c r="D14" s="22">
        <f t="shared" si="1"/>
        <v>0.01527777778</v>
      </c>
      <c r="E14" s="5">
        <f t="shared" si="2"/>
        <v>22</v>
      </c>
    </row>
    <row r="15">
      <c r="A15" s="6">
        <f t="shared" si="3"/>
        <v>13</v>
      </c>
      <c r="B15" s="18">
        <v>0.2875</v>
      </c>
      <c r="C15" s="18">
        <v>0.34305555555555556</v>
      </c>
      <c r="D15" s="22">
        <f t="shared" si="1"/>
        <v>0.05555555556</v>
      </c>
      <c r="E15" s="5">
        <f t="shared" si="2"/>
        <v>80</v>
      </c>
    </row>
    <row r="16">
      <c r="A16" s="6">
        <f t="shared" si="3"/>
        <v>14</v>
      </c>
      <c r="B16" s="18">
        <v>0.16666666666666666</v>
      </c>
      <c r="C16" s="18">
        <v>0.18194444444444444</v>
      </c>
      <c r="D16" s="22">
        <f t="shared" si="1"/>
        <v>0.01527777778</v>
      </c>
      <c r="E16" s="5">
        <f t="shared" si="2"/>
        <v>22</v>
      </c>
    </row>
    <row r="17">
      <c r="A17" s="6">
        <f t="shared" si="3"/>
        <v>15</v>
      </c>
      <c r="B17" s="18">
        <v>0.3486111111111111</v>
      </c>
      <c r="C17" s="18">
        <v>0.37777777777777777</v>
      </c>
      <c r="D17" s="22">
        <f t="shared" si="1"/>
        <v>0.02916666667</v>
      </c>
      <c r="E17" s="5">
        <f t="shared" si="2"/>
        <v>42</v>
      </c>
    </row>
    <row r="18">
      <c r="A18" s="6">
        <f t="shared" si="3"/>
        <v>16</v>
      </c>
      <c r="B18" s="18">
        <v>0.16666666666666666</v>
      </c>
      <c r="C18" s="18">
        <v>0.18263888888888888</v>
      </c>
      <c r="D18" s="22">
        <f t="shared" si="1"/>
        <v>0.01597222222</v>
      </c>
      <c r="E18" s="5">
        <f t="shared" si="2"/>
        <v>23</v>
      </c>
    </row>
    <row r="19">
      <c r="A19" s="6">
        <f t="shared" si="3"/>
        <v>17</v>
      </c>
      <c r="B19" s="18">
        <v>0.28402777777777777</v>
      </c>
      <c r="C19" s="18">
        <v>0.3423611111111111</v>
      </c>
      <c r="D19" s="22">
        <f t="shared" si="1"/>
        <v>0.05833333333</v>
      </c>
      <c r="E19" s="5">
        <f t="shared" si="2"/>
        <v>84</v>
      </c>
    </row>
    <row r="20">
      <c r="A20" s="6">
        <f t="shared" si="3"/>
        <v>18</v>
      </c>
      <c r="B20" s="18">
        <v>0.3333333333333333</v>
      </c>
      <c r="C20" s="18">
        <v>0.37777777777777777</v>
      </c>
      <c r="D20" s="22">
        <f t="shared" si="1"/>
        <v>0.04444444444</v>
      </c>
      <c r="E20" s="5">
        <f t="shared" si="2"/>
        <v>64</v>
      </c>
    </row>
    <row r="21">
      <c r="A21" s="6">
        <f t="shared" si="3"/>
        <v>19</v>
      </c>
      <c r="B21" s="18">
        <v>0.1527777777777778</v>
      </c>
      <c r="C21" s="18">
        <v>0.18125</v>
      </c>
      <c r="D21" s="22">
        <f t="shared" si="1"/>
        <v>0.02847222222</v>
      </c>
      <c r="E21" s="5">
        <f t="shared" si="2"/>
        <v>41</v>
      </c>
    </row>
    <row r="22">
      <c r="A22" s="6">
        <f t="shared" si="3"/>
        <v>20</v>
      </c>
      <c r="B22" s="18">
        <v>0.15347222222222223</v>
      </c>
      <c r="C22" s="18">
        <v>0.18125</v>
      </c>
      <c r="D22" s="22">
        <f t="shared" si="1"/>
        <v>0.02777777778</v>
      </c>
      <c r="E22" s="5">
        <f t="shared" si="2"/>
        <v>40</v>
      </c>
    </row>
    <row r="23">
      <c r="A23" s="6">
        <f t="shared" si="3"/>
        <v>21</v>
      </c>
      <c r="B23" s="18">
        <v>0.16666666666666666</v>
      </c>
      <c r="C23" s="18">
        <v>0.17847222222222223</v>
      </c>
      <c r="D23" s="22">
        <f t="shared" si="1"/>
        <v>0.01180555556</v>
      </c>
      <c r="E23" s="5">
        <f t="shared" si="2"/>
        <v>17</v>
      </c>
    </row>
    <row r="24">
      <c r="A24" s="6">
        <f t="shared" si="3"/>
        <v>22</v>
      </c>
      <c r="B24" s="18">
        <v>0.16666666666666666</v>
      </c>
      <c r="C24" s="18">
        <v>0.18263888888888888</v>
      </c>
      <c r="D24" s="22">
        <f t="shared" si="1"/>
        <v>0.01597222222</v>
      </c>
      <c r="E24" s="5">
        <f t="shared" si="2"/>
        <v>23</v>
      </c>
    </row>
    <row r="25">
      <c r="A25" s="6">
        <f t="shared" si="3"/>
        <v>23</v>
      </c>
      <c r="B25" s="18">
        <v>0.16319444444444445</v>
      </c>
      <c r="C25" s="18">
        <v>0.18125</v>
      </c>
      <c r="D25" s="22">
        <f t="shared" si="1"/>
        <v>0.01805555556</v>
      </c>
      <c r="E25" s="5">
        <f t="shared" si="2"/>
        <v>26</v>
      </c>
    </row>
    <row r="26">
      <c r="A26" s="6">
        <f t="shared" si="3"/>
        <v>24</v>
      </c>
      <c r="B26" s="18">
        <v>0.1388888888888889</v>
      </c>
      <c r="C26" s="18">
        <v>0.18055555555555555</v>
      </c>
      <c r="D26" s="22">
        <f t="shared" si="1"/>
        <v>0.04166666667</v>
      </c>
      <c r="E26" s="5">
        <f t="shared" si="2"/>
        <v>60</v>
      </c>
    </row>
    <row r="27">
      <c r="A27" s="6">
        <f t="shared" si="3"/>
        <v>25</v>
      </c>
      <c r="B27" s="18">
        <v>0.38472222222222224</v>
      </c>
      <c r="C27" s="18">
        <v>0.3923611111111111</v>
      </c>
      <c r="D27" s="22">
        <f t="shared" si="1"/>
        <v>0.007638888889</v>
      </c>
      <c r="E27" s="5">
        <f t="shared" si="2"/>
        <v>11</v>
      </c>
    </row>
    <row r="28">
      <c r="A28" s="6">
        <f t="shared" si="3"/>
        <v>26</v>
      </c>
      <c r="B28" s="18">
        <v>0.6472222222222223</v>
      </c>
      <c r="C28" s="18">
        <v>0.6618055555555555</v>
      </c>
      <c r="D28" s="22">
        <f t="shared" si="1"/>
        <v>0.01458333333</v>
      </c>
      <c r="E28" s="5">
        <f t="shared" si="2"/>
        <v>21</v>
      </c>
    </row>
    <row r="29">
      <c r="A29" s="6">
        <f t="shared" si="3"/>
        <v>27</v>
      </c>
      <c r="B29" s="18">
        <v>0.6472222222222223</v>
      </c>
      <c r="C29" s="18">
        <v>0.6611111111111111</v>
      </c>
      <c r="D29" s="22">
        <f t="shared" si="1"/>
        <v>0.01388888889</v>
      </c>
      <c r="E29" s="5">
        <f t="shared" si="2"/>
        <v>20</v>
      </c>
    </row>
    <row r="30">
      <c r="A30" s="6">
        <f t="shared" si="3"/>
        <v>28</v>
      </c>
      <c r="B30" s="18">
        <v>0.3125</v>
      </c>
      <c r="C30" s="18">
        <v>0.37777777777777777</v>
      </c>
      <c r="D30" s="22">
        <f t="shared" si="1"/>
        <v>0.06527777778</v>
      </c>
      <c r="E30" s="5">
        <f t="shared" si="2"/>
        <v>94</v>
      </c>
    </row>
    <row r="31">
      <c r="A31" s="6">
        <f t="shared" si="3"/>
        <v>29</v>
      </c>
      <c r="B31" s="18">
        <v>0.6319444444444444</v>
      </c>
      <c r="C31" s="18">
        <v>0.6708333333333333</v>
      </c>
      <c r="D31" s="22">
        <f t="shared" si="1"/>
        <v>0.03888888889</v>
      </c>
      <c r="E31" s="5">
        <f t="shared" si="2"/>
        <v>56</v>
      </c>
    </row>
    <row r="32">
      <c r="A32" s="6">
        <f t="shared" si="3"/>
        <v>30</v>
      </c>
      <c r="B32" s="18">
        <v>0.15833333333333333</v>
      </c>
      <c r="C32" s="18">
        <v>0.18125</v>
      </c>
      <c r="D32" s="22">
        <f t="shared" si="1"/>
        <v>0.02291666667</v>
      </c>
      <c r="E32" s="5">
        <f t="shared" si="2"/>
        <v>33</v>
      </c>
    </row>
    <row r="33">
      <c r="A33" s="6">
        <f t="shared" si="3"/>
        <v>31</v>
      </c>
      <c r="B33" s="18">
        <v>0.38472222222222224</v>
      </c>
      <c r="C33" s="18">
        <v>0.3923611111111111</v>
      </c>
      <c r="D33" s="22">
        <f t="shared" si="1"/>
        <v>0.007638888889</v>
      </c>
      <c r="E33" s="5">
        <f t="shared" si="2"/>
        <v>11</v>
      </c>
    </row>
    <row r="34">
      <c r="A34" s="6">
        <f t="shared" si="3"/>
        <v>32</v>
      </c>
      <c r="B34" s="18">
        <v>0.20833333333333334</v>
      </c>
      <c r="C34" s="18">
        <v>0.22013888888888888</v>
      </c>
      <c r="D34" s="22">
        <f t="shared" si="1"/>
        <v>0.01180555556</v>
      </c>
      <c r="E34" s="5">
        <f t="shared" si="2"/>
        <v>17</v>
      </c>
    </row>
    <row r="35">
      <c r="A35" s="6">
        <f t="shared" si="3"/>
        <v>33</v>
      </c>
      <c r="B35" s="18">
        <v>0.2972222222222222</v>
      </c>
      <c r="C35" s="18">
        <v>0.34375</v>
      </c>
      <c r="D35" s="22">
        <f t="shared" si="1"/>
        <v>0.04652777778</v>
      </c>
      <c r="E35" s="5">
        <f t="shared" si="2"/>
        <v>67</v>
      </c>
    </row>
    <row r="36">
      <c r="A36" s="6">
        <f t="shared" si="3"/>
        <v>34</v>
      </c>
      <c r="B36" s="18">
        <v>0.41041666666666665</v>
      </c>
      <c r="C36" s="18">
        <v>0.4125</v>
      </c>
      <c r="D36" s="22">
        <f t="shared" si="1"/>
        <v>0.002083333333</v>
      </c>
      <c r="E36" s="5">
        <f t="shared" si="2"/>
        <v>3</v>
      </c>
    </row>
    <row r="37">
      <c r="A37" s="6">
        <f t="shared" si="3"/>
        <v>35</v>
      </c>
      <c r="B37" s="18">
        <v>0.3159722222222222</v>
      </c>
      <c r="C37" s="18">
        <v>0.37777777777777777</v>
      </c>
      <c r="D37" s="22">
        <f t="shared" si="1"/>
        <v>0.06180555556</v>
      </c>
      <c r="E37" s="5">
        <f t="shared" si="2"/>
        <v>89</v>
      </c>
    </row>
  </sheetData>
  <mergeCells count="2">
    <mergeCell ref="A1:E1"/>
    <mergeCell ref="G2:J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0"/>
  <cols>
    <col customWidth="1" min="3" max="3" width="14.25"/>
    <col customWidth="1" min="6" max="6" width="16.88"/>
  </cols>
  <sheetData>
    <row r="2">
      <c r="B2" s="25" t="s">
        <v>6</v>
      </c>
      <c r="C2" s="25" t="s">
        <v>19</v>
      </c>
      <c r="D2" s="25" t="s">
        <v>7</v>
      </c>
      <c r="E2" s="25" t="s">
        <v>2</v>
      </c>
      <c r="F2" s="25" t="s">
        <v>20</v>
      </c>
    </row>
    <row r="3">
      <c r="B3" s="23">
        <v>1.0</v>
      </c>
      <c r="C3" s="23">
        <v>12.0</v>
      </c>
      <c r="D3" s="26">
        <v>0.0027083333333333126</v>
      </c>
      <c r="E3" s="10">
        <v>3.89999999999997</v>
      </c>
      <c r="F3" s="24">
        <v>0.3249999999999975</v>
      </c>
    </row>
    <row r="4">
      <c r="B4" s="23">
        <v>2.0</v>
      </c>
      <c r="C4" s="23">
        <v>8.0</v>
      </c>
      <c r="D4" s="26">
        <v>0.0019907407407407374</v>
      </c>
      <c r="E4" s="10">
        <v>2.866666666666662</v>
      </c>
      <c r="F4" s="24">
        <v>0.3583333333333327</v>
      </c>
    </row>
    <row r="5">
      <c r="B5" s="23">
        <v>3.0</v>
      </c>
      <c r="C5" s="23">
        <v>35.0</v>
      </c>
      <c r="D5" s="26">
        <v>0.0038310185185185253</v>
      </c>
      <c r="E5" s="10">
        <v>5.516666666666676</v>
      </c>
      <c r="F5" s="24">
        <v>0.1576190476190479</v>
      </c>
    </row>
    <row r="6">
      <c r="B6" s="23">
        <v>4.0</v>
      </c>
      <c r="C6" s="23">
        <v>8.0</v>
      </c>
      <c r="D6" s="26">
        <v>0.0018518518518518268</v>
      </c>
      <c r="E6" s="10">
        <v>2.6666666666666305</v>
      </c>
      <c r="F6" s="24">
        <v>0.3333333333333288</v>
      </c>
    </row>
    <row r="7">
      <c r="B7" s="23">
        <v>5.0</v>
      </c>
      <c r="C7" s="23">
        <v>25.0</v>
      </c>
      <c r="D7" s="26">
        <v>0.005775462962962941</v>
      </c>
      <c r="E7" s="10">
        <v>8.316666666666634</v>
      </c>
      <c r="F7" s="24">
        <v>0.3326666666666654</v>
      </c>
    </row>
    <row r="8">
      <c r="B8" s="23">
        <v>6.0</v>
      </c>
      <c r="C8" s="23">
        <v>12.0</v>
      </c>
      <c r="D8" s="26">
        <v>0.0017592592592592382</v>
      </c>
      <c r="E8" s="10">
        <v>2.533333333333303</v>
      </c>
      <c r="F8" s="24">
        <v>0.21111111111110858</v>
      </c>
    </row>
    <row r="9">
      <c r="B9" s="23">
        <v>7.0</v>
      </c>
      <c r="C9" s="23">
        <v>3.0</v>
      </c>
      <c r="D9" s="26">
        <v>0.0012152777777778012</v>
      </c>
      <c r="E9" s="10">
        <v>1.7500000000000338</v>
      </c>
      <c r="F9" s="24">
        <v>0.5833333333333446</v>
      </c>
    </row>
    <row r="10">
      <c r="B10" s="23">
        <v>8.0</v>
      </c>
      <c r="C10" s="6">
        <v>6.0</v>
      </c>
      <c r="D10" s="26">
        <v>0.0014699074074074336</v>
      </c>
      <c r="E10" s="10">
        <v>2.1166666666667044</v>
      </c>
      <c r="F10" s="24">
        <v>0.3527777777777841</v>
      </c>
    </row>
    <row r="11">
      <c r="B11" s="23">
        <v>9.0</v>
      </c>
      <c r="C11" s="23">
        <v>2.0</v>
      </c>
      <c r="D11" s="26">
        <v>5.90277777777759E-4</v>
      </c>
      <c r="E11" s="10">
        <v>0.849999999999973</v>
      </c>
      <c r="F11" s="24">
        <v>0.4249999999999865</v>
      </c>
    </row>
    <row r="12">
      <c r="B12" s="23">
        <v>10.0</v>
      </c>
      <c r="C12" s="23">
        <v>1.0</v>
      </c>
      <c r="D12" s="12">
        <v>8.680555555555802E-4</v>
      </c>
      <c r="E12" s="10">
        <v>1.2500000000000355</v>
      </c>
      <c r="F12" s="27">
        <v>1.25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sheetData>
    <row r="2">
      <c r="B2" s="28" t="s">
        <v>6</v>
      </c>
      <c r="C2" s="28" t="s">
        <v>7</v>
      </c>
      <c r="D2" s="28" t="s">
        <v>2</v>
      </c>
    </row>
    <row r="3">
      <c r="B3" s="23">
        <v>1.0</v>
      </c>
      <c r="C3" s="26">
        <v>0.0013425925925926174</v>
      </c>
      <c r="D3" s="10">
        <v>1.933333333333369</v>
      </c>
    </row>
    <row r="4">
      <c r="B4" s="23">
        <v>2.0</v>
      </c>
      <c r="C4" s="26">
        <v>0.0016319444444444775</v>
      </c>
      <c r="D4" s="10">
        <v>2.3500000000000476</v>
      </c>
    </row>
    <row r="5">
      <c r="B5" s="23">
        <v>3.0</v>
      </c>
      <c r="C5" s="26">
        <v>0.0014467592592593004</v>
      </c>
      <c r="D5" s="10">
        <v>2.0833333333333925</v>
      </c>
    </row>
    <row r="6">
      <c r="B6" s="23">
        <v>4.0</v>
      </c>
      <c r="C6" s="26">
        <v>0.001574074074074061</v>
      </c>
      <c r="D6" s="10">
        <v>2.266666666666648</v>
      </c>
    </row>
    <row r="7">
      <c r="B7" s="23">
        <v>5.0</v>
      </c>
      <c r="C7" s="26">
        <v>4.629629629629983E-4</v>
      </c>
      <c r="D7" s="10">
        <v>0.6666666666667176</v>
      </c>
    </row>
    <row r="8">
      <c r="B8" s="23">
        <v>6.0</v>
      </c>
      <c r="C8" s="26">
        <v>0.0012615740740740677</v>
      </c>
      <c r="D8" s="10">
        <v>1.8166666666666575</v>
      </c>
    </row>
    <row r="9">
      <c r="B9" s="23">
        <v>7.0</v>
      </c>
      <c r="C9" s="26">
        <v>0.0016435185185185164</v>
      </c>
      <c r="D9" s="10">
        <v>2.3666666666666636</v>
      </c>
    </row>
    <row r="10">
      <c r="B10" s="23">
        <v>8.0</v>
      </c>
      <c r="C10" s="26">
        <v>0.003750000000000031</v>
      </c>
      <c r="D10" s="10">
        <v>5.400000000000045</v>
      </c>
    </row>
    <row r="11">
      <c r="B11" s="23">
        <v>9.0</v>
      </c>
      <c r="C11" s="26">
        <v>0.0037499999999999756</v>
      </c>
      <c r="D11" s="10">
        <v>5.399999999999965</v>
      </c>
    </row>
    <row r="12">
      <c r="B12" s="23">
        <v>10.0</v>
      </c>
      <c r="C12" s="26">
        <v>0.0018055555555555602</v>
      </c>
      <c r="D12" s="10">
        <v>2.6000000000000068</v>
      </c>
    </row>
    <row r="13">
      <c r="B13" s="23">
        <v>11.0</v>
      </c>
      <c r="C13" s="26">
        <v>0.005416666666666681</v>
      </c>
      <c r="D13" s="10">
        <v>7.80000000000002</v>
      </c>
    </row>
    <row r="14">
      <c r="B14" s="23">
        <v>12.0</v>
      </c>
      <c r="C14" s="26">
        <v>3.356481481481821E-4</v>
      </c>
      <c r="D14" s="10">
        <v>0.48333333333338224</v>
      </c>
    </row>
    <row r="15">
      <c r="B15" s="23">
        <v>13.0</v>
      </c>
      <c r="C15" s="26">
        <v>9.95370370370341E-4</v>
      </c>
      <c r="D15" s="10">
        <v>1.433333333333291</v>
      </c>
    </row>
    <row r="16">
      <c r="B16" s="23">
        <v>14.0</v>
      </c>
      <c r="C16" s="26">
        <v>0.001388888888888884</v>
      </c>
      <c r="D16" s="10">
        <v>1.999999999999993</v>
      </c>
    </row>
    <row r="17">
      <c r="B17" s="23">
        <v>15.0</v>
      </c>
      <c r="C17" s="26">
        <v>0.0019907407407407374</v>
      </c>
      <c r="D17" s="10">
        <v>2.866666666666662</v>
      </c>
    </row>
    <row r="18">
      <c r="B18" s="23">
        <v>16.0</v>
      </c>
      <c r="C18" s="6"/>
      <c r="D18" s="29">
        <v>0.4975</v>
      </c>
    </row>
    <row r="19">
      <c r="B19" s="23">
        <v>17.0</v>
      </c>
      <c r="C19" s="6"/>
      <c r="D19" s="29">
        <v>0.4975</v>
      </c>
    </row>
    <row r="20">
      <c r="B20" s="23">
        <v>18.0</v>
      </c>
      <c r="C20" s="6"/>
      <c r="D20" s="29">
        <v>0.4975</v>
      </c>
    </row>
    <row r="21">
      <c r="B21" s="23">
        <v>19.0</v>
      </c>
      <c r="C21" s="6"/>
      <c r="D21" s="29">
        <v>0.4975</v>
      </c>
    </row>
    <row r="22">
      <c r="B22" s="23">
        <v>20.0</v>
      </c>
      <c r="C22" s="6"/>
      <c r="D22" s="29">
        <v>0.4975</v>
      </c>
    </row>
    <row r="23">
      <c r="B23" s="23">
        <v>21.0</v>
      </c>
      <c r="C23" s="6"/>
      <c r="D23" s="29">
        <v>0.4975</v>
      </c>
    </row>
    <row r="24">
      <c r="B24" s="23">
        <v>22.0</v>
      </c>
      <c r="C24" s="6"/>
      <c r="D24" s="29">
        <v>0.4975</v>
      </c>
    </row>
    <row r="25">
      <c r="B25" s="23">
        <v>23.0</v>
      </c>
      <c r="C25" s="6"/>
      <c r="D25" s="29">
        <v>0.4975</v>
      </c>
    </row>
    <row r="26">
      <c r="B26" s="23">
        <v>24.0</v>
      </c>
      <c r="C26" s="6"/>
      <c r="D26" s="29">
        <v>0.4975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0"/>
  <cols>
    <col customWidth="1" min="15" max="15" width="12.25"/>
  </cols>
  <sheetData>
    <row r="2">
      <c r="M2" s="30" t="s">
        <v>6</v>
      </c>
      <c r="N2" s="30" t="s">
        <v>21</v>
      </c>
      <c r="O2" s="30" t="s">
        <v>22</v>
      </c>
      <c r="P2" s="30" t="s">
        <v>7</v>
      </c>
      <c r="Q2" s="30" t="s">
        <v>2</v>
      </c>
    </row>
    <row r="3">
      <c r="M3" s="17">
        <v>1.0</v>
      </c>
      <c r="N3" s="18">
        <v>0.37777777777777777</v>
      </c>
      <c r="O3" s="18">
        <v>0.38680555555555557</v>
      </c>
      <c r="P3" s="18">
        <f t="shared" ref="P3:P37" si="1">O3-N3</f>
        <v>0.009027777778</v>
      </c>
      <c r="Q3" s="31">
        <f t="shared" ref="Q3:Q37" si="2">(P3*1440)</f>
        <v>13</v>
      </c>
    </row>
    <row r="4">
      <c r="M4" s="6">
        <f t="shared" ref="M4:M37" si="3">M3+1</f>
        <v>2</v>
      </c>
      <c r="N4" s="18">
        <v>0.37777777777777777</v>
      </c>
      <c r="O4" s="18">
        <v>0.42986111111111114</v>
      </c>
      <c r="P4" s="18">
        <f t="shared" si="1"/>
        <v>0.05208333333</v>
      </c>
      <c r="Q4" s="31">
        <f t="shared" si="2"/>
        <v>75</v>
      </c>
    </row>
    <row r="5">
      <c r="M5" s="6">
        <f t="shared" si="3"/>
        <v>3</v>
      </c>
      <c r="N5" s="18">
        <v>0.37777777777777777</v>
      </c>
      <c r="O5" s="18">
        <v>0.4013888888888889</v>
      </c>
      <c r="P5" s="18">
        <f t="shared" si="1"/>
        <v>0.02361111111</v>
      </c>
      <c r="Q5" s="31">
        <f t="shared" si="2"/>
        <v>34</v>
      </c>
    </row>
    <row r="6">
      <c r="M6" s="6">
        <f t="shared" si="3"/>
        <v>4</v>
      </c>
      <c r="N6" s="18">
        <v>0.3923611111111111</v>
      </c>
      <c r="O6" s="18">
        <v>0.43333333333333335</v>
      </c>
      <c r="P6" s="18">
        <f t="shared" si="1"/>
        <v>0.04097222222</v>
      </c>
      <c r="Q6" s="31">
        <f t="shared" si="2"/>
        <v>59</v>
      </c>
    </row>
    <row r="7">
      <c r="M7" s="6">
        <f t="shared" si="3"/>
        <v>5</v>
      </c>
      <c r="N7" s="18">
        <v>0.18055555555555555</v>
      </c>
      <c r="O7" s="18">
        <v>0.2013888888888889</v>
      </c>
      <c r="P7" s="18">
        <f t="shared" si="1"/>
        <v>0.02083333333</v>
      </c>
      <c r="Q7" s="31">
        <f t="shared" si="2"/>
        <v>30</v>
      </c>
    </row>
    <row r="8">
      <c r="M8" s="6">
        <f t="shared" si="3"/>
        <v>6</v>
      </c>
      <c r="N8" s="18">
        <v>0.18125</v>
      </c>
      <c r="O8" s="18">
        <v>0.20902777777777778</v>
      </c>
      <c r="P8" s="18">
        <f t="shared" si="1"/>
        <v>0.02777777778</v>
      </c>
      <c r="Q8" s="31">
        <f t="shared" si="2"/>
        <v>40</v>
      </c>
    </row>
    <row r="9">
      <c r="M9" s="6">
        <f t="shared" si="3"/>
        <v>7</v>
      </c>
      <c r="N9" s="18">
        <v>0.18055555555555555</v>
      </c>
      <c r="O9" s="18">
        <v>0.19930555555555557</v>
      </c>
      <c r="P9" s="18">
        <f t="shared" si="1"/>
        <v>0.01875</v>
      </c>
      <c r="Q9" s="31">
        <f t="shared" si="2"/>
        <v>27</v>
      </c>
    </row>
    <row r="10">
      <c r="M10" s="6">
        <f t="shared" si="3"/>
        <v>8</v>
      </c>
      <c r="N10" s="18">
        <v>0.18125</v>
      </c>
      <c r="O10" s="18">
        <v>0.2076388888888889</v>
      </c>
      <c r="P10" s="18">
        <f t="shared" si="1"/>
        <v>0.02638888889</v>
      </c>
      <c r="Q10" s="31">
        <f t="shared" si="2"/>
        <v>38</v>
      </c>
    </row>
    <row r="11">
      <c r="M11" s="6">
        <f t="shared" si="3"/>
        <v>9</v>
      </c>
      <c r="N11" s="18">
        <v>0.18125</v>
      </c>
      <c r="O11" s="18">
        <v>0.20972222222222223</v>
      </c>
      <c r="P11" s="18">
        <f t="shared" si="1"/>
        <v>0.02847222222</v>
      </c>
      <c r="Q11" s="31">
        <f t="shared" si="2"/>
        <v>41</v>
      </c>
    </row>
    <row r="12">
      <c r="M12" s="6">
        <f t="shared" si="3"/>
        <v>10</v>
      </c>
      <c r="N12" s="18">
        <v>0.17847222222222223</v>
      </c>
      <c r="O12" s="18">
        <v>0.2013888888888889</v>
      </c>
      <c r="P12" s="18">
        <f t="shared" si="1"/>
        <v>0.02291666667</v>
      </c>
      <c r="Q12" s="31">
        <f t="shared" si="2"/>
        <v>33</v>
      </c>
    </row>
    <row r="13">
      <c r="M13" s="6">
        <f t="shared" si="3"/>
        <v>11</v>
      </c>
      <c r="N13" s="18">
        <v>0.18194444444444444</v>
      </c>
      <c r="O13" s="18">
        <v>0.21319444444444444</v>
      </c>
      <c r="P13" s="18">
        <f t="shared" si="1"/>
        <v>0.03125</v>
      </c>
      <c r="Q13" s="31">
        <f t="shared" si="2"/>
        <v>45</v>
      </c>
    </row>
    <row r="14">
      <c r="M14" s="6">
        <f t="shared" si="3"/>
        <v>12</v>
      </c>
      <c r="N14" s="18">
        <v>0.3875</v>
      </c>
      <c r="O14" s="18">
        <v>0.42986111111111114</v>
      </c>
      <c r="P14" s="18">
        <f t="shared" si="1"/>
        <v>0.04236111111</v>
      </c>
      <c r="Q14" s="31">
        <f t="shared" si="2"/>
        <v>61</v>
      </c>
    </row>
    <row r="15">
      <c r="M15" s="6">
        <f t="shared" si="3"/>
        <v>13</v>
      </c>
      <c r="N15" s="18">
        <v>0.7055555555555556</v>
      </c>
      <c r="O15" s="18">
        <v>0.7131944444444445</v>
      </c>
      <c r="P15" s="18">
        <f t="shared" si="1"/>
        <v>0.007638888889</v>
      </c>
      <c r="Q15" s="31">
        <f t="shared" si="2"/>
        <v>11</v>
      </c>
    </row>
    <row r="16">
      <c r="M16" s="6">
        <f t="shared" si="3"/>
        <v>14</v>
      </c>
      <c r="N16" s="18">
        <v>0.7055555555555556</v>
      </c>
      <c r="O16" s="18">
        <v>0.7395833333333334</v>
      </c>
      <c r="P16" s="18">
        <f t="shared" si="1"/>
        <v>0.03402777778</v>
      </c>
      <c r="Q16" s="31">
        <f t="shared" si="2"/>
        <v>49</v>
      </c>
    </row>
    <row r="17">
      <c r="M17" s="6">
        <f t="shared" si="3"/>
        <v>15</v>
      </c>
      <c r="N17" s="18">
        <v>0.7055555555555556</v>
      </c>
      <c r="O17" s="18">
        <v>0.7451388888888889</v>
      </c>
      <c r="P17" s="18">
        <f t="shared" si="1"/>
        <v>0.03958333333</v>
      </c>
      <c r="Q17" s="31">
        <f t="shared" si="2"/>
        <v>57</v>
      </c>
    </row>
    <row r="18">
      <c r="M18" s="6">
        <f t="shared" si="3"/>
        <v>16</v>
      </c>
      <c r="N18" s="18">
        <v>0.18263888888888888</v>
      </c>
      <c r="O18" s="18">
        <v>0.21180555555555555</v>
      </c>
      <c r="P18" s="18">
        <f t="shared" si="1"/>
        <v>0.02916666667</v>
      </c>
      <c r="Q18" s="31">
        <f t="shared" si="2"/>
        <v>42</v>
      </c>
    </row>
    <row r="19">
      <c r="M19" s="6">
        <f t="shared" si="3"/>
        <v>17</v>
      </c>
      <c r="N19" s="18">
        <v>0.17847222222222223</v>
      </c>
      <c r="O19" s="18">
        <v>0.21458333333333332</v>
      </c>
      <c r="P19" s="18">
        <f t="shared" si="1"/>
        <v>0.03611111111</v>
      </c>
      <c r="Q19" s="31">
        <f t="shared" si="2"/>
        <v>52</v>
      </c>
    </row>
    <row r="20">
      <c r="M20" s="6">
        <f t="shared" si="3"/>
        <v>18</v>
      </c>
      <c r="N20" s="18">
        <v>0.18958333333333333</v>
      </c>
      <c r="O20" s="18">
        <v>0.19166666666666668</v>
      </c>
      <c r="P20" s="18">
        <f t="shared" si="1"/>
        <v>0.002083333333</v>
      </c>
      <c r="Q20" s="31">
        <f t="shared" si="2"/>
        <v>3</v>
      </c>
    </row>
    <row r="21">
      <c r="M21" s="6">
        <f t="shared" si="3"/>
        <v>19</v>
      </c>
      <c r="N21" s="18">
        <v>0.3923611111111111</v>
      </c>
      <c r="O21" s="18">
        <v>0.43333333333333335</v>
      </c>
      <c r="P21" s="18">
        <f t="shared" si="1"/>
        <v>0.04097222222</v>
      </c>
      <c r="Q21" s="31">
        <f t="shared" si="2"/>
        <v>59</v>
      </c>
    </row>
    <row r="22">
      <c r="M22" s="6">
        <f t="shared" si="3"/>
        <v>20</v>
      </c>
      <c r="N22" s="18">
        <v>0.18263888888888888</v>
      </c>
      <c r="O22" s="18">
        <v>0.19652777777777777</v>
      </c>
      <c r="P22" s="18">
        <f t="shared" si="1"/>
        <v>0.01388888889</v>
      </c>
      <c r="Q22" s="31">
        <f t="shared" si="2"/>
        <v>20</v>
      </c>
    </row>
    <row r="23">
      <c r="M23" s="6">
        <f t="shared" si="3"/>
        <v>21</v>
      </c>
      <c r="N23" s="18">
        <v>0.18194444444444444</v>
      </c>
      <c r="O23" s="18">
        <v>0.21041666666666667</v>
      </c>
      <c r="P23" s="18">
        <f t="shared" si="1"/>
        <v>0.02847222222</v>
      </c>
      <c r="Q23" s="31">
        <f t="shared" si="2"/>
        <v>41</v>
      </c>
    </row>
    <row r="24">
      <c r="M24" s="6">
        <f t="shared" si="3"/>
        <v>22</v>
      </c>
      <c r="N24" s="18">
        <v>0.17847222222222223</v>
      </c>
      <c r="O24" s="18">
        <v>0.2152777777777778</v>
      </c>
      <c r="P24" s="18">
        <f t="shared" si="1"/>
        <v>0.03680555556</v>
      </c>
      <c r="Q24" s="31">
        <f t="shared" si="2"/>
        <v>53</v>
      </c>
    </row>
    <row r="25">
      <c r="M25" s="6">
        <f t="shared" si="3"/>
        <v>23</v>
      </c>
      <c r="N25" s="18">
        <v>0.3423611111111111</v>
      </c>
      <c r="O25" s="18">
        <v>0.3736111111111111</v>
      </c>
      <c r="P25" s="18">
        <f t="shared" si="1"/>
        <v>0.03125</v>
      </c>
      <c r="Q25" s="31">
        <f t="shared" si="2"/>
        <v>45</v>
      </c>
    </row>
    <row r="26">
      <c r="M26" s="6">
        <f t="shared" si="3"/>
        <v>24</v>
      </c>
      <c r="N26" s="18">
        <v>0.34305555555555556</v>
      </c>
      <c r="O26" s="18">
        <v>0.35138888888888886</v>
      </c>
      <c r="P26" s="18">
        <f t="shared" si="1"/>
        <v>0.008333333333</v>
      </c>
      <c r="Q26" s="31">
        <f t="shared" si="2"/>
        <v>12</v>
      </c>
    </row>
    <row r="27">
      <c r="M27" s="6">
        <f t="shared" si="3"/>
        <v>25</v>
      </c>
      <c r="N27" s="18">
        <v>0.37777777777777777</v>
      </c>
      <c r="O27" s="18">
        <v>0.42986111111111114</v>
      </c>
      <c r="P27" s="18">
        <f t="shared" si="1"/>
        <v>0.05208333333</v>
      </c>
      <c r="Q27" s="31">
        <f t="shared" si="2"/>
        <v>75</v>
      </c>
    </row>
    <row r="28">
      <c r="M28" s="6">
        <f t="shared" si="3"/>
        <v>26</v>
      </c>
      <c r="N28" s="18">
        <v>0.37777777777777777</v>
      </c>
      <c r="O28" s="18">
        <v>0.38680555555555557</v>
      </c>
      <c r="P28" s="18">
        <f t="shared" si="1"/>
        <v>0.009027777778</v>
      </c>
      <c r="Q28" s="31">
        <f t="shared" si="2"/>
        <v>13</v>
      </c>
    </row>
    <row r="29">
      <c r="M29" s="6">
        <f t="shared" si="3"/>
        <v>27</v>
      </c>
      <c r="N29" s="18">
        <v>0.3423611111111111</v>
      </c>
      <c r="O29" s="18">
        <v>0.3736111111111111</v>
      </c>
      <c r="P29" s="18">
        <f t="shared" si="1"/>
        <v>0.03125</v>
      </c>
      <c r="Q29" s="31">
        <f t="shared" si="2"/>
        <v>45</v>
      </c>
    </row>
    <row r="30">
      <c r="M30" s="6">
        <f t="shared" si="3"/>
        <v>28</v>
      </c>
      <c r="N30" s="18">
        <v>0.37777777777777777</v>
      </c>
      <c r="O30" s="18">
        <v>0.4013888888888889</v>
      </c>
      <c r="P30" s="18">
        <f t="shared" si="1"/>
        <v>0.02361111111</v>
      </c>
      <c r="Q30" s="31">
        <f t="shared" si="2"/>
        <v>34</v>
      </c>
    </row>
    <row r="31">
      <c r="M31" s="6">
        <f t="shared" si="3"/>
        <v>29</v>
      </c>
      <c r="N31" s="18">
        <v>0.3770833333333333</v>
      </c>
      <c r="O31" s="18">
        <v>0.4215277777777778</v>
      </c>
      <c r="P31" s="18">
        <f t="shared" si="1"/>
        <v>0.04444444444</v>
      </c>
      <c r="Q31" s="31">
        <f t="shared" si="2"/>
        <v>64</v>
      </c>
    </row>
    <row r="32">
      <c r="M32" s="6">
        <f t="shared" si="3"/>
        <v>30</v>
      </c>
      <c r="N32" s="18">
        <v>0.3770833333333333</v>
      </c>
      <c r="O32" s="18">
        <v>0.4930555555555556</v>
      </c>
      <c r="P32" s="18">
        <f t="shared" si="1"/>
        <v>0.1159722222</v>
      </c>
      <c r="Q32" s="31">
        <f t="shared" si="2"/>
        <v>167</v>
      </c>
    </row>
    <row r="33">
      <c r="M33" s="6">
        <f t="shared" si="3"/>
        <v>31</v>
      </c>
      <c r="N33" s="18">
        <v>0.3770833333333333</v>
      </c>
      <c r="O33" s="18">
        <v>0.4326388888888889</v>
      </c>
      <c r="P33" s="18">
        <f t="shared" si="1"/>
        <v>0.05555555556</v>
      </c>
      <c r="Q33" s="31">
        <f t="shared" si="2"/>
        <v>80</v>
      </c>
    </row>
    <row r="34">
      <c r="M34" s="6">
        <f t="shared" si="3"/>
        <v>32</v>
      </c>
      <c r="N34" s="18">
        <v>0.18194444444444444</v>
      </c>
      <c r="O34" s="18">
        <v>0.1951388888888889</v>
      </c>
      <c r="P34" s="18">
        <f t="shared" si="1"/>
        <v>0.01319444444</v>
      </c>
      <c r="Q34" s="31">
        <f t="shared" si="2"/>
        <v>19</v>
      </c>
    </row>
    <row r="35">
      <c r="M35" s="6">
        <f t="shared" si="3"/>
        <v>33</v>
      </c>
      <c r="N35" s="18">
        <v>0.17847222222222223</v>
      </c>
      <c r="O35" s="18">
        <v>0.22083333333333333</v>
      </c>
      <c r="P35" s="18">
        <f t="shared" si="1"/>
        <v>0.04236111111</v>
      </c>
      <c r="Q35" s="31">
        <f t="shared" si="2"/>
        <v>61</v>
      </c>
    </row>
    <row r="36">
      <c r="M36" s="6">
        <f t="shared" si="3"/>
        <v>34</v>
      </c>
      <c r="N36" s="18">
        <v>0.18263888888888888</v>
      </c>
      <c r="O36" s="18">
        <v>0.2125</v>
      </c>
      <c r="P36" s="18">
        <f t="shared" si="1"/>
        <v>0.02986111111</v>
      </c>
      <c r="Q36" s="31">
        <f t="shared" si="2"/>
        <v>43</v>
      </c>
    </row>
    <row r="37">
      <c r="M37" s="6">
        <f t="shared" si="3"/>
        <v>35</v>
      </c>
      <c r="N37" s="18">
        <v>0.18263888888888888</v>
      </c>
      <c r="O37" s="18">
        <v>0.20902777777777778</v>
      </c>
      <c r="P37" s="18">
        <f t="shared" si="1"/>
        <v>0.02638888889</v>
      </c>
      <c r="Q37" s="31">
        <f t="shared" si="2"/>
        <v>38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0"/>
  <sheetData>
    <row r="2">
      <c r="B2" s="32" t="s">
        <v>6</v>
      </c>
      <c r="C2" s="32" t="s">
        <v>22</v>
      </c>
      <c r="D2" s="33" t="s">
        <v>23</v>
      </c>
      <c r="E2" s="33" t="s">
        <v>7</v>
      </c>
      <c r="F2" s="32" t="s">
        <v>2</v>
      </c>
    </row>
    <row r="3">
      <c r="B3" s="17">
        <v>1.0</v>
      </c>
      <c r="C3" s="18">
        <v>0.38680555555555557</v>
      </c>
      <c r="D3" s="34">
        <v>0.4013888888888889</v>
      </c>
      <c r="E3" s="35">
        <v>0.014583333333333337</v>
      </c>
      <c r="F3" s="36">
        <v>21.000000000000007</v>
      </c>
    </row>
    <row r="4">
      <c r="B4" s="6">
        <f t="shared" ref="B4:B37" si="1">B3+1</f>
        <v>2</v>
      </c>
      <c r="C4" s="18">
        <v>0.42986111111111114</v>
      </c>
      <c r="D4" s="34">
        <v>0.4305555555555556</v>
      </c>
      <c r="E4" s="35">
        <v>6.94444444444442E-4</v>
      </c>
      <c r="F4" s="36">
        <v>0.9999999999999964</v>
      </c>
    </row>
    <row r="5">
      <c r="B5" s="6">
        <f t="shared" si="1"/>
        <v>3</v>
      </c>
      <c r="C5" s="18">
        <v>0.4013888888888889</v>
      </c>
      <c r="D5" s="34">
        <v>0.4041666666666667</v>
      </c>
      <c r="E5" s="35">
        <v>0.002777777777777768</v>
      </c>
      <c r="F5" s="36">
        <v>3.999999999999986</v>
      </c>
    </row>
    <row r="6">
      <c r="B6" s="6">
        <f t="shared" si="1"/>
        <v>4</v>
      </c>
      <c r="C6" s="18">
        <v>0.43333333333333335</v>
      </c>
      <c r="D6" s="34">
        <v>0.4361111111111111</v>
      </c>
      <c r="E6" s="35">
        <v>0.002777777777777768</v>
      </c>
      <c r="F6" s="36">
        <v>3.999999999999986</v>
      </c>
    </row>
    <row r="7">
      <c r="B7" s="6">
        <f t="shared" si="1"/>
        <v>5</v>
      </c>
      <c r="C7" s="18">
        <v>0.2013888888888889</v>
      </c>
      <c r="D7" s="34">
        <v>0.20208333333333334</v>
      </c>
      <c r="E7" s="35">
        <v>6.94444444444442E-4</v>
      </c>
      <c r="F7" s="36">
        <v>0.9999999999999964</v>
      </c>
    </row>
    <row r="8">
      <c r="B8" s="6">
        <f t="shared" si="1"/>
        <v>6</v>
      </c>
      <c r="C8" s="18">
        <v>0.20902777777777778</v>
      </c>
      <c r="D8" s="34">
        <v>0.20902777777777778</v>
      </c>
      <c r="E8" s="35">
        <v>0.0</v>
      </c>
      <c r="F8" s="36">
        <v>0.0</v>
      </c>
    </row>
    <row r="9">
      <c r="B9" s="6">
        <f t="shared" si="1"/>
        <v>7</v>
      </c>
      <c r="C9" s="18">
        <v>0.19930555555555557</v>
      </c>
      <c r="D9" s="34">
        <v>0.20069444444444445</v>
      </c>
      <c r="E9" s="35">
        <v>0.001388888888888884</v>
      </c>
      <c r="F9" s="36">
        <v>1.999999999999993</v>
      </c>
    </row>
    <row r="10">
      <c r="B10" s="6">
        <f t="shared" si="1"/>
        <v>8</v>
      </c>
      <c r="C10" s="18">
        <v>0.2076388888888889</v>
      </c>
      <c r="D10" s="34">
        <v>0.20902777777777778</v>
      </c>
      <c r="E10" s="35">
        <v>0.001388888888888884</v>
      </c>
      <c r="F10" s="36">
        <v>1.999999999999993</v>
      </c>
    </row>
    <row r="11">
      <c r="B11" s="6">
        <f t="shared" si="1"/>
        <v>9</v>
      </c>
      <c r="C11" s="18">
        <v>0.20972222222222223</v>
      </c>
      <c r="D11" s="34">
        <v>0.21388888888888888</v>
      </c>
      <c r="E11" s="35">
        <v>0.004166666666666652</v>
      </c>
      <c r="F11" s="36">
        <v>5.999999999999979</v>
      </c>
    </row>
    <row r="12">
      <c r="B12" s="6">
        <f t="shared" si="1"/>
        <v>10</v>
      </c>
      <c r="C12" s="18">
        <v>0.2013888888888889</v>
      </c>
      <c r="D12" s="34">
        <v>0.20208333333333334</v>
      </c>
      <c r="E12" s="35">
        <v>6.94444444444442E-4</v>
      </c>
      <c r="F12" s="36">
        <v>0.9999999999999964</v>
      </c>
    </row>
    <row r="13">
      <c r="B13" s="6">
        <f t="shared" si="1"/>
        <v>11</v>
      </c>
      <c r="C13" s="18">
        <v>0.21319444444444444</v>
      </c>
      <c r="D13" s="34">
        <v>0.21388888888888888</v>
      </c>
      <c r="E13" s="35">
        <v>6.94444444444442E-4</v>
      </c>
      <c r="F13" s="36">
        <v>0.9999999999999964</v>
      </c>
    </row>
    <row r="14">
      <c r="B14" s="6">
        <f t="shared" si="1"/>
        <v>12</v>
      </c>
      <c r="C14" s="18">
        <v>0.42986111111111114</v>
      </c>
      <c r="D14" s="34">
        <v>0.4305555555555556</v>
      </c>
      <c r="E14" s="35">
        <v>6.94444444444442E-4</v>
      </c>
      <c r="F14" s="36">
        <v>0.9999999999999964</v>
      </c>
    </row>
    <row r="15">
      <c r="B15" s="6">
        <f t="shared" si="1"/>
        <v>13</v>
      </c>
      <c r="C15" s="18">
        <v>0.7131944444444445</v>
      </c>
      <c r="D15" s="34">
        <v>0.7305555555555555</v>
      </c>
      <c r="E15" s="35">
        <v>0.01736111111111105</v>
      </c>
      <c r="F15" s="36">
        <v>24.99999999999991</v>
      </c>
    </row>
    <row r="16">
      <c r="B16" s="6">
        <f t="shared" si="1"/>
        <v>14</v>
      </c>
      <c r="C16" s="18">
        <v>0.7395833333333334</v>
      </c>
      <c r="D16" s="34">
        <v>0.7430555555555556</v>
      </c>
      <c r="E16" s="35">
        <v>0.00347222222222221</v>
      </c>
      <c r="F16" s="36">
        <v>4.999999999999982</v>
      </c>
    </row>
    <row r="17">
      <c r="B17" s="6">
        <f t="shared" si="1"/>
        <v>15</v>
      </c>
      <c r="C17" s="18">
        <v>0.7451388888888889</v>
      </c>
      <c r="D17" s="34">
        <v>0.7465277777777778</v>
      </c>
      <c r="E17" s="35">
        <v>0.001388888888888884</v>
      </c>
      <c r="F17" s="36">
        <v>1.999999999999993</v>
      </c>
    </row>
    <row r="18">
      <c r="B18" s="6">
        <f t="shared" si="1"/>
        <v>16</v>
      </c>
      <c r="C18" s="18">
        <v>0.21180555555555555</v>
      </c>
      <c r="D18" s="34">
        <v>0.21388888888888888</v>
      </c>
      <c r="E18" s="35">
        <v>0.002083333333333326</v>
      </c>
      <c r="F18" s="36">
        <v>2.9999999999999893</v>
      </c>
    </row>
    <row r="19">
      <c r="B19" s="6">
        <f t="shared" si="1"/>
        <v>17</v>
      </c>
      <c r="C19" s="18">
        <v>0.21458333333333332</v>
      </c>
      <c r="D19" s="34">
        <v>0.2152777777777778</v>
      </c>
      <c r="E19" s="35">
        <v>6.944444444444697E-4</v>
      </c>
      <c r="F19" s="36">
        <v>1.0000000000000364</v>
      </c>
    </row>
    <row r="20">
      <c r="B20" s="6">
        <f t="shared" si="1"/>
        <v>18</v>
      </c>
      <c r="C20" s="18">
        <v>0.19166666666666668</v>
      </c>
      <c r="D20" s="34">
        <v>0.19375</v>
      </c>
      <c r="E20" s="35">
        <v>0.002083333333333326</v>
      </c>
      <c r="F20" s="36">
        <v>2.9999999999999893</v>
      </c>
    </row>
    <row r="21">
      <c r="B21" s="6">
        <f t="shared" si="1"/>
        <v>19</v>
      </c>
      <c r="C21" s="18">
        <v>0.43333333333333335</v>
      </c>
      <c r="D21" s="34">
        <v>0.4361111111111111</v>
      </c>
      <c r="E21" s="35">
        <v>0.002777777777777768</v>
      </c>
      <c r="F21" s="36">
        <v>3.999999999999986</v>
      </c>
    </row>
    <row r="22">
      <c r="B22" s="6">
        <f t="shared" si="1"/>
        <v>20</v>
      </c>
      <c r="C22" s="18">
        <v>0.19652777777777777</v>
      </c>
      <c r="D22" s="34">
        <v>0.19722222222222222</v>
      </c>
      <c r="E22" s="35">
        <v>6.94444444444442E-4</v>
      </c>
      <c r="F22" s="36">
        <v>0.9999999999999964</v>
      </c>
    </row>
    <row r="23">
      <c r="B23" s="6">
        <f t="shared" si="1"/>
        <v>21</v>
      </c>
      <c r="C23" s="18">
        <v>0.21041666666666667</v>
      </c>
      <c r="D23" s="34">
        <v>0.21388888888888888</v>
      </c>
      <c r="E23" s="35">
        <v>0.00347222222222221</v>
      </c>
      <c r="F23" s="36">
        <v>4.999999999999982</v>
      </c>
    </row>
    <row r="24">
      <c r="B24" s="6">
        <f t="shared" si="1"/>
        <v>22</v>
      </c>
      <c r="C24" s="18">
        <v>0.2152777777777778</v>
      </c>
      <c r="D24" s="34">
        <v>0.2152777777777778</v>
      </c>
      <c r="E24" s="35">
        <v>0.0</v>
      </c>
      <c r="F24" s="36">
        <v>0.0</v>
      </c>
    </row>
    <row r="25">
      <c r="B25" s="6">
        <f t="shared" si="1"/>
        <v>23</v>
      </c>
      <c r="C25" s="18">
        <v>0.3736111111111111</v>
      </c>
      <c r="D25" s="34">
        <v>0.37569444444444444</v>
      </c>
      <c r="E25" s="35">
        <v>0.002083333333333326</v>
      </c>
      <c r="F25" s="36">
        <v>2.9999999999999893</v>
      </c>
    </row>
    <row r="26">
      <c r="B26" s="6">
        <f t="shared" si="1"/>
        <v>24</v>
      </c>
      <c r="C26" s="18">
        <v>0.35138888888888886</v>
      </c>
      <c r="D26" s="34">
        <v>0.36875</v>
      </c>
      <c r="E26" s="35">
        <v>0.01736111111111116</v>
      </c>
      <c r="F26" s="36">
        <v>25.00000000000007</v>
      </c>
    </row>
    <row r="27">
      <c r="B27" s="6">
        <f t="shared" si="1"/>
        <v>25</v>
      </c>
      <c r="C27" s="18">
        <v>0.42986111111111114</v>
      </c>
      <c r="D27" s="34">
        <v>0.43125</v>
      </c>
      <c r="E27" s="35">
        <v>0.001388888888888884</v>
      </c>
      <c r="F27" s="36">
        <v>1.999999999999993</v>
      </c>
    </row>
    <row r="28">
      <c r="B28" s="6">
        <f t="shared" si="1"/>
        <v>26</v>
      </c>
      <c r="C28" s="18">
        <v>0.38680555555555557</v>
      </c>
      <c r="D28" s="34">
        <v>0.4013888888888889</v>
      </c>
      <c r="E28" s="35">
        <v>0.014583333333333337</v>
      </c>
      <c r="F28" s="36">
        <v>21.000000000000007</v>
      </c>
    </row>
    <row r="29">
      <c r="B29" s="6">
        <f t="shared" si="1"/>
        <v>27</v>
      </c>
      <c r="C29" s="18">
        <v>0.3736111111111111</v>
      </c>
      <c r="D29" s="34">
        <v>0.37569444444444444</v>
      </c>
      <c r="E29" s="35">
        <v>0.002083333333333326</v>
      </c>
      <c r="F29" s="36">
        <v>2.9999999999999893</v>
      </c>
    </row>
    <row r="30">
      <c r="B30" s="6">
        <f t="shared" si="1"/>
        <v>28</v>
      </c>
      <c r="C30" s="18">
        <v>0.4013888888888889</v>
      </c>
      <c r="D30" s="34">
        <v>0.4041666666666667</v>
      </c>
      <c r="E30" s="35">
        <v>0.002777777777777768</v>
      </c>
      <c r="F30" s="36">
        <v>3.999999999999986</v>
      </c>
    </row>
    <row r="31">
      <c r="B31" s="6">
        <f t="shared" si="1"/>
        <v>29</v>
      </c>
      <c r="C31" s="18">
        <v>0.4215277777777778</v>
      </c>
      <c r="D31" s="34">
        <v>0.43125</v>
      </c>
      <c r="E31" s="35">
        <v>0.009722222222222243</v>
      </c>
      <c r="F31" s="36">
        <v>14.00000000000003</v>
      </c>
    </row>
    <row r="32">
      <c r="B32" s="6">
        <f t="shared" si="1"/>
        <v>30</v>
      </c>
      <c r="C32" s="18">
        <v>0.4930555555555556</v>
      </c>
      <c r="D32" s="34">
        <v>0.49583333333333335</v>
      </c>
      <c r="E32" s="35">
        <v>0.002777777777777768</v>
      </c>
      <c r="F32" s="36">
        <v>3.999999999999986</v>
      </c>
    </row>
    <row r="33">
      <c r="B33" s="6">
        <f t="shared" si="1"/>
        <v>31</v>
      </c>
      <c r="C33" s="18">
        <v>0.4326388888888889</v>
      </c>
      <c r="D33" s="34">
        <v>0.4361111111111111</v>
      </c>
      <c r="E33" s="35">
        <v>0.00347222222222221</v>
      </c>
      <c r="F33" s="36">
        <v>4.999999999999982</v>
      </c>
    </row>
    <row r="34">
      <c r="B34" s="6">
        <f t="shared" si="1"/>
        <v>32</v>
      </c>
      <c r="C34" s="18">
        <v>0.1951388888888889</v>
      </c>
      <c r="D34" s="34">
        <v>0.19722222222222222</v>
      </c>
      <c r="E34" s="35">
        <v>0.002083333333333326</v>
      </c>
      <c r="F34" s="36">
        <v>2.9999999999999893</v>
      </c>
    </row>
    <row r="35">
      <c r="B35" s="6">
        <f t="shared" si="1"/>
        <v>33</v>
      </c>
      <c r="C35" s="18">
        <v>0.22083333333333333</v>
      </c>
      <c r="D35" s="34">
        <v>0.22430555555555556</v>
      </c>
      <c r="E35" s="35">
        <v>0.0034722222222222376</v>
      </c>
      <c r="F35" s="36">
        <v>5.000000000000022</v>
      </c>
    </row>
    <row r="36">
      <c r="B36" s="6">
        <f t="shared" si="1"/>
        <v>34</v>
      </c>
      <c r="C36" s="18">
        <v>0.2125</v>
      </c>
      <c r="D36" s="34">
        <v>0.21388888888888888</v>
      </c>
      <c r="E36" s="35">
        <v>0.001388888888888884</v>
      </c>
      <c r="F36" s="36">
        <v>1.999999999999993</v>
      </c>
    </row>
    <row r="37">
      <c r="B37" s="6">
        <f t="shared" si="1"/>
        <v>35</v>
      </c>
      <c r="C37" s="18">
        <v>0.20902777777777778</v>
      </c>
      <c r="D37" s="34">
        <v>0.20902777777777778</v>
      </c>
      <c r="E37" s="35">
        <v>0.0</v>
      </c>
      <c r="F37" s="36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>
    <row r="2">
      <c r="B2" s="37" t="s">
        <v>6</v>
      </c>
      <c r="C2" s="37" t="s">
        <v>7</v>
      </c>
      <c r="D2" s="37" t="s">
        <v>2</v>
      </c>
    </row>
    <row r="3">
      <c r="B3" s="23">
        <v>1.0</v>
      </c>
      <c r="C3" s="26">
        <v>0.0018171296296296546</v>
      </c>
      <c r="D3" s="10">
        <v>2.6166666666667027</v>
      </c>
    </row>
    <row r="4">
      <c r="B4" s="23">
        <v>2.0</v>
      </c>
      <c r="C4" s="12">
        <v>5.208333333333592E-4</v>
      </c>
      <c r="D4" s="10">
        <v>0.7500000000000373</v>
      </c>
    </row>
    <row r="5">
      <c r="B5" s="23">
        <v>3.0</v>
      </c>
      <c r="C5" s="26">
        <v>0.0011574074074074403</v>
      </c>
      <c r="D5" s="10">
        <v>1.666666666666714</v>
      </c>
    </row>
    <row r="6">
      <c r="B6" s="23">
        <v>4.0</v>
      </c>
      <c r="C6" s="26">
        <v>0.0014467592592592449</v>
      </c>
      <c r="D6" s="10">
        <v>2.0833333333333126</v>
      </c>
    </row>
    <row r="7">
      <c r="B7" s="23">
        <v>5.0</v>
      </c>
      <c r="C7" s="26">
        <v>0.0012499999999999734</v>
      </c>
      <c r="D7" s="10">
        <v>1.7999999999999616</v>
      </c>
    </row>
    <row r="8">
      <c r="B8" s="23">
        <v>6.0</v>
      </c>
      <c r="C8" s="6"/>
      <c r="D8" s="24">
        <v>0.4999999999999982</v>
      </c>
    </row>
    <row r="9">
      <c r="B9" s="23">
        <v>7.0</v>
      </c>
      <c r="C9" s="6"/>
      <c r="D9" s="24">
        <v>2.9999999999999893</v>
      </c>
    </row>
    <row r="10">
      <c r="B10" s="23">
        <v>8.0</v>
      </c>
      <c r="C10" s="6"/>
      <c r="D10" s="24">
        <v>13.99999999999995</v>
      </c>
    </row>
    <row r="11">
      <c r="B11" s="23">
        <v>9.0</v>
      </c>
      <c r="C11" s="6"/>
      <c r="D11" s="24">
        <v>0.9999999999999964</v>
      </c>
    </row>
    <row r="12">
      <c r="B12" s="23">
        <v>10.0</v>
      </c>
      <c r="C12" s="6"/>
      <c r="D12" s="24">
        <v>0.4999999999999183</v>
      </c>
    </row>
    <row r="13">
      <c r="B13" s="23">
        <v>11.0</v>
      </c>
      <c r="C13" s="6"/>
      <c r="D13" s="24">
        <v>2.3999999999999755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5.75"/>
    <col customWidth="1" min="6" max="6" width="14.13"/>
    <col customWidth="1" min="9" max="9" width="14.13"/>
    <col customWidth="1" min="12" max="12" width="14.13"/>
    <col customWidth="1" min="15" max="15" width="14.13"/>
    <col customWidth="1" min="18" max="18" width="14.13"/>
    <col customWidth="1" min="21" max="21" width="14.13"/>
  </cols>
  <sheetData>
    <row r="1">
      <c r="A1" s="38"/>
      <c r="B1" s="38"/>
      <c r="C1" s="38"/>
    </row>
    <row r="2">
      <c r="A2" s="38"/>
      <c r="B2" s="39" t="s">
        <v>24</v>
      </c>
    </row>
    <row r="3">
      <c r="A3" s="38"/>
    </row>
    <row r="4">
      <c r="A4" s="40"/>
      <c r="B4" s="41" t="s">
        <v>25</v>
      </c>
      <c r="C4" s="42"/>
      <c r="E4" s="41" t="s">
        <v>26</v>
      </c>
      <c r="F4" s="42"/>
      <c r="H4" s="41" t="s">
        <v>27</v>
      </c>
      <c r="I4" s="42"/>
      <c r="K4" s="41" t="s">
        <v>27</v>
      </c>
      <c r="L4" s="42"/>
      <c r="N4" s="41" t="s">
        <v>28</v>
      </c>
      <c r="O4" s="42"/>
      <c r="Q4" s="41" t="s">
        <v>29</v>
      </c>
      <c r="R4" s="42"/>
      <c r="T4" s="41" t="s">
        <v>30</v>
      </c>
      <c r="U4" s="42"/>
    </row>
    <row r="5">
      <c r="A5" s="38"/>
      <c r="B5" s="43" t="s">
        <v>9</v>
      </c>
      <c r="C5" s="44" t="s">
        <v>31</v>
      </c>
      <c r="E5" s="43" t="s">
        <v>9</v>
      </c>
      <c r="F5" s="44" t="s">
        <v>31</v>
      </c>
      <c r="H5" s="43" t="s">
        <v>9</v>
      </c>
      <c r="I5" s="44" t="s">
        <v>31</v>
      </c>
      <c r="K5" s="43" t="s">
        <v>9</v>
      </c>
      <c r="L5" s="44" t="s">
        <v>31</v>
      </c>
      <c r="N5" s="43" t="s">
        <v>9</v>
      </c>
      <c r="O5" s="44" t="s">
        <v>31</v>
      </c>
      <c r="Q5" s="43" t="s">
        <v>9</v>
      </c>
      <c r="R5" s="44" t="s">
        <v>31</v>
      </c>
      <c r="T5" s="43" t="s">
        <v>9</v>
      </c>
      <c r="U5" s="44" t="s">
        <v>31</v>
      </c>
    </row>
    <row r="6">
      <c r="A6" s="38"/>
      <c r="B6" s="43">
        <v>1.0</v>
      </c>
      <c r="C6" s="45">
        <v>19.49999999999985</v>
      </c>
      <c r="E6" s="46">
        <v>1.0</v>
      </c>
      <c r="F6" s="47">
        <v>116.00000000000215</v>
      </c>
      <c r="H6" s="46">
        <v>1.0</v>
      </c>
      <c r="I6" s="47">
        <v>25.99999999999767</v>
      </c>
      <c r="K6" s="46">
        <v>1.0</v>
      </c>
      <c r="L6" s="47">
        <v>1318.0000000000014</v>
      </c>
      <c r="N6" s="43">
        <v>1.0</v>
      </c>
      <c r="O6" s="47">
        <v>4739.999999999997</v>
      </c>
      <c r="P6" s="48">
        <f>O6/60</f>
        <v>79</v>
      </c>
      <c r="Q6" s="43">
        <v>1.0</v>
      </c>
      <c r="R6" s="47">
        <v>33420.0</v>
      </c>
      <c r="T6" s="43">
        <v>1.0</v>
      </c>
      <c r="U6" s="47">
        <v>34680.0</v>
      </c>
    </row>
    <row r="7">
      <c r="A7" s="38"/>
      <c r="B7" s="43">
        <v>2.0</v>
      </c>
      <c r="C7" s="45">
        <v>21.499999999999964</v>
      </c>
      <c r="E7" s="46">
        <v>2.0</v>
      </c>
      <c r="F7" s="47">
        <v>141.00000000000284</v>
      </c>
      <c r="H7" s="46">
        <v>2.0</v>
      </c>
      <c r="I7" s="47">
        <v>53.00000000000189</v>
      </c>
      <c r="K7" s="46">
        <v>2.0</v>
      </c>
      <c r="L7" s="47">
        <v>45.00000000000224</v>
      </c>
      <c r="N7" s="46">
        <f t="shared" ref="N7:N40" si="1">N6+1</f>
        <v>2</v>
      </c>
      <c r="O7" s="47">
        <v>1260.0000000000002</v>
      </c>
      <c r="Q7" s="46">
        <f t="shared" ref="Q7:Q40" si="2">Q6+1</f>
        <v>2</v>
      </c>
      <c r="R7" s="47">
        <v>37140.0</v>
      </c>
      <c r="T7" s="46">
        <f t="shared" ref="T7:T40" si="3">T6+1</f>
        <v>2</v>
      </c>
      <c r="U7" s="47">
        <v>37200.0</v>
      </c>
    </row>
    <row r="8">
      <c r="A8" s="38"/>
      <c r="B8" s="43">
        <v>3.0</v>
      </c>
      <c r="C8" s="45">
        <v>9.457142857142873</v>
      </c>
      <c r="E8" s="46">
        <v>3.0</v>
      </c>
      <c r="F8" s="47">
        <v>125.00000000000355</v>
      </c>
      <c r="H8" s="46">
        <v>3.0</v>
      </c>
      <c r="I8" s="47">
        <v>267.00000000000335</v>
      </c>
      <c r="K8" s="46">
        <v>3.0</v>
      </c>
      <c r="L8" s="47">
        <v>100.00000000000284</v>
      </c>
      <c r="N8" s="46">
        <f t="shared" si="1"/>
        <v>3</v>
      </c>
      <c r="O8" s="47">
        <v>659.9999999999976</v>
      </c>
      <c r="Q8" s="46">
        <f t="shared" si="2"/>
        <v>3</v>
      </c>
      <c r="R8" s="47">
        <v>34680.0</v>
      </c>
      <c r="T8" s="46">
        <f t="shared" si="3"/>
        <v>3</v>
      </c>
      <c r="U8" s="47">
        <v>34920.0</v>
      </c>
    </row>
    <row r="9">
      <c r="A9" s="38"/>
      <c r="B9" s="43">
        <v>4.0</v>
      </c>
      <c r="C9" s="45">
        <v>19.99999999999973</v>
      </c>
      <c r="E9" s="46">
        <v>4.0</v>
      </c>
      <c r="F9" s="47">
        <v>350.00000000000034</v>
      </c>
      <c r="H9" s="49">
        <v>4.0</v>
      </c>
      <c r="I9" s="50">
        <v>20.000000000001528</v>
      </c>
      <c r="K9" s="49">
        <v>4.0</v>
      </c>
      <c r="L9" s="50">
        <v>124.99999999999875</v>
      </c>
      <c r="N9" s="46">
        <f t="shared" si="1"/>
        <v>4</v>
      </c>
      <c r="O9" s="47">
        <v>3059.9999999999986</v>
      </c>
      <c r="Q9" s="46">
        <f t="shared" si="2"/>
        <v>4</v>
      </c>
      <c r="R9" s="47">
        <v>37440.0</v>
      </c>
      <c r="T9" s="46">
        <f t="shared" si="3"/>
        <v>4</v>
      </c>
      <c r="U9" s="47">
        <v>37680.0</v>
      </c>
    </row>
    <row r="10">
      <c r="A10" s="38"/>
      <c r="B10" s="43">
        <v>5.0</v>
      </c>
      <c r="C10" s="45">
        <v>19.959999999999923</v>
      </c>
      <c r="E10" s="46">
        <v>5.0</v>
      </c>
      <c r="F10" s="47">
        <v>40.000000000003055</v>
      </c>
      <c r="N10" s="46">
        <f t="shared" si="1"/>
        <v>5</v>
      </c>
      <c r="O10" s="47">
        <v>3360.0</v>
      </c>
      <c r="Q10" s="46">
        <f t="shared" si="2"/>
        <v>5</v>
      </c>
      <c r="R10" s="47">
        <v>17400.0</v>
      </c>
      <c r="T10" s="46">
        <f t="shared" si="3"/>
        <v>5</v>
      </c>
      <c r="U10" s="47">
        <v>17460.0</v>
      </c>
    </row>
    <row r="11">
      <c r="A11" s="38"/>
      <c r="B11" s="43">
        <v>6.0</v>
      </c>
      <c r="C11" s="45">
        <v>12.666666666666515</v>
      </c>
      <c r="E11" s="46">
        <v>6.0</v>
      </c>
      <c r="F11" s="47">
        <v>108.99999999999946</v>
      </c>
      <c r="N11" s="46">
        <f t="shared" si="1"/>
        <v>6</v>
      </c>
      <c r="O11" s="47">
        <v>3360.0</v>
      </c>
      <c r="Q11" s="46">
        <f t="shared" si="2"/>
        <v>6</v>
      </c>
      <c r="R11" s="47">
        <v>18060.0</v>
      </c>
      <c r="T11" s="46">
        <f t="shared" si="3"/>
        <v>6</v>
      </c>
      <c r="U11" s="47">
        <v>18060.0</v>
      </c>
    </row>
    <row r="12">
      <c r="A12" s="38"/>
      <c r="B12" s="43">
        <v>7.0</v>
      </c>
      <c r="C12" s="45">
        <v>35.000000000000675</v>
      </c>
      <c r="E12" s="49">
        <v>7.0</v>
      </c>
      <c r="F12" s="50">
        <v>141.99999999999983</v>
      </c>
      <c r="N12" s="46">
        <f t="shared" si="1"/>
        <v>7</v>
      </c>
      <c r="O12" s="47">
        <v>719.9999999999975</v>
      </c>
      <c r="Q12" s="46">
        <f t="shared" si="2"/>
        <v>7</v>
      </c>
      <c r="R12" s="47">
        <v>17220.0</v>
      </c>
      <c r="T12" s="46">
        <f t="shared" si="3"/>
        <v>7</v>
      </c>
      <c r="U12" s="47">
        <v>17340.0</v>
      </c>
    </row>
    <row r="13">
      <c r="A13" s="38"/>
      <c r="B13" s="43">
        <v>8.0</v>
      </c>
      <c r="C13" s="45">
        <v>21.166666666667044</v>
      </c>
      <c r="N13" s="46">
        <f t="shared" si="1"/>
        <v>8</v>
      </c>
      <c r="O13" s="47">
        <v>2039.9999999999975</v>
      </c>
      <c r="Q13" s="46">
        <f t="shared" si="2"/>
        <v>8</v>
      </c>
      <c r="R13" s="47">
        <v>17940.0</v>
      </c>
      <c r="T13" s="46">
        <f t="shared" si="3"/>
        <v>8</v>
      </c>
      <c r="U13" s="47">
        <v>18060.0</v>
      </c>
    </row>
    <row r="14">
      <c r="A14" s="38"/>
      <c r="B14" s="51">
        <v>9.0</v>
      </c>
      <c r="C14" s="52">
        <v>25.49999999999919</v>
      </c>
      <c r="N14" s="46">
        <f t="shared" si="1"/>
        <v>9</v>
      </c>
      <c r="O14" s="47">
        <v>1320.0</v>
      </c>
      <c r="Q14" s="46">
        <f t="shared" si="2"/>
        <v>9</v>
      </c>
      <c r="R14" s="47">
        <v>18120.0</v>
      </c>
      <c r="T14" s="46">
        <f t="shared" si="3"/>
        <v>9</v>
      </c>
      <c r="U14" s="47">
        <v>18480.0</v>
      </c>
    </row>
    <row r="15">
      <c r="N15" s="46">
        <f t="shared" si="1"/>
        <v>10</v>
      </c>
      <c r="O15" s="47">
        <v>540.0000000000077</v>
      </c>
      <c r="Q15" s="46">
        <f t="shared" si="2"/>
        <v>10</v>
      </c>
      <c r="R15" s="47">
        <v>17400.0</v>
      </c>
      <c r="T15" s="46">
        <f t="shared" si="3"/>
        <v>10</v>
      </c>
      <c r="U15" s="47">
        <v>17460.0</v>
      </c>
    </row>
    <row r="16">
      <c r="B16" s="39" t="s">
        <v>32</v>
      </c>
      <c r="N16" s="46">
        <f t="shared" si="1"/>
        <v>11</v>
      </c>
      <c r="O16" s="47">
        <v>1380.0</v>
      </c>
      <c r="Q16" s="46">
        <f t="shared" si="2"/>
        <v>11</v>
      </c>
      <c r="R16" s="47">
        <v>18420.0</v>
      </c>
      <c r="T16" s="46">
        <f t="shared" si="3"/>
        <v>11</v>
      </c>
      <c r="U16" s="47">
        <v>18480.0</v>
      </c>
    </row>
    <row r="17">
      <c r="N17" s="46">
        <f t="shared" si="1"/>
        <v>12</v>
      </c>
      <c r="O17" s="47">
        <v>1320.0</v>
      </c>
      <c r="Q17" s="46">
        <f t="shared" si="2"/>
        <v>12</v>
      </c>
      <c r="R17" s="47">
        <v>37140.0</v>
      </c>
      <c r="T17" s="46">
        <f t="shared" si="3"/>
        <v>12</v>
      </c>
      <c r="U17" s="47">
        <v>37200.0</v>
      </c>
    </row>
    <row r="18">
      <c r="B18" s="53" t="s">
        <v>33</v>
      </c>
      <c r="C18" s="42"/>
      <c r="E18" s="53" t="s">
        <v>34</v>
      </c>
      <c r="F18" s="42"/>
      <c r="N18" s="46">
        <f t="shared" si="1"/>
        <v>13</v>
      </c>
      <c r="O18" s="47">
        <v>4800.000000000002</v>
      </c>
      <c r="Q18" s="46">
        <f t="shared" si="2"/>
        <v>13</v>
      </c>
      <c r="R18" s="47">
        <v>61620.0</v>
      </c>
      <c r="T18" s="46">
        <f t="shared" si="3"/>
        <v>13</v>
      </c>
      <c r="U18" s="47">
        <v>63120.0</v>
      </c>
    </row>
    <row r="19">
      <c r="B19" s="51" t="s">
        <v>35</v>
      </c>
      <c r="C19" s="54">
        <v>0.004088050314465409</v>
      </c>
      <c r="E19" s="43" t="s">
        <v>9</v>
      </c>
      <c r="F19" s="44" t="s">
        <v>36</v>
      </c>
      <c r="N19" s="46">
        <f t="shared" si="1"/>
        <v>14</v>
      </c>
      <c r="O19" s="47">
        <v>1320.0</v>
      </c>
      <c r="Q19" s="46">
        <f t="shared" si="2"/>
        <v>14</v>
      </c>
      <c r="R19" s="47">
        <v>63900.0</v>
      </c>
      <c r="T19" s="46">
        <f t="shared" si="3"/>
        <v>14</v>
      </c>
      <c r="U19" s="47">
        <v>64200.0</v>
      </c>
    </row>
    <row r="20">
      <c r="E20" s="46">
        <v>1.0</v>
      </c>
      <c r="F20" s="55">
        <v>0.011204950246676143</v>
      </c>
      <c r="N20" s="46">
        <f t="shared" si="1"/>
        <v>15</v>
      </c>
      <c r="O20" s="47">
        <v>2520.0000000000005</v>
      </c>
      <c r="Q20" s="46">
        <f t="shared" si="2"/>
        <v>15</v>
      </c>
      <c r="R20" s="47">
        <v>64380.0</v>
      </c>
      <c r="T20" s="46">
        <f t="shared" si="3"/>
        <v>15</v>
      </c>
      <c r="U20" s="47">
        <v>64500.0</v>
      </c>
    </row>
    <row r="21">
      <c r="E21" s="46">
        <v>2.0</v>
      </c>
      <c r="F21" s="55">
        <v>0.012363874559895193</v>
      </c>
      <c r="N21" s="46">
        <f t="shared" si="1"/>
        <v>16</v>
      </c>
      <c r="O21" s="47">
        <v>1380.0</v>
      </c>
      <c r="Q21" s="46">
        <f t="shared" si="2"/>
        <v>16</v>
      </c>
      <c r="R21" s="47">
        <v>18300.0</v>
      </c>
      <c r="T21" s="46">
        <f t="shared" si="3"/>
        <v>16</v>
      </c>
      <c r="U21" s="47">
        <v>18480.0</v>
      </c>
    </row>
    <row r="22">
      <c r="E22" s="46">
        <v>3.0</v>
      </c>
      <c r="F22" s="55">
        <v>0.011096605744125326</v>
      </c>
      <c r="N22" s="46">
        <f t="shared" si="1"/>
        <v>17</v>
      </c>
      <c r="O22" s="47">
        <v>5040.000000000001</v>
      </c>
      <c r="Q22" s="46">
        <f t="shared" si="2"/>
        <v>17</v>
      </c>
      <c r="R22" s="47">
        <v>18540.0</v>
      </c>
      <c r="T22" s="46">
        <f t="shared" si="3"/>
        <v>17</v>
      </c>
      <c r="U22" s="47">
        <v>18600.0</v>
      </c>
    </row>
    <row r="23">
      <c r="E23" s="46">
        <v>4.0</v>
      </c>
      <c r="F23" s="55">
        <v>0.012012012012012012</v>
      </c>
      <c r="N23" s="46">
        <f t="shared" si="1"/>
        <v>18</v>
      </c>
      <c r="O23" s="47">
        <v>3840.000000000001</v>
      </c>
      <c r="Q23" s="46">
        <f t="shared" si="2"/>
        <v>18</v>
      </c>
      <c r="R23" s="47">
        <v>16560.0</v>
      </c>
      <c r="T23" s="46">
        <f t="shared" si="3"/>
        <v>18</v>
      </c>
      <c r="U23" s="47">
        <v>16740.0</v>
      </c>
    </row>
    <row r="24">
      <c r="E24" s="46">
        <v>5.0</v>
      </c>
      <c r="F24" s="55">
        <v>0.012468393059551835</v>
      </c>
      <c r="N24" s="46">
        <f t="shared" si="1"/>
        <v>19</v>
      </c>
      <c r="O24" s="47">
        <v>2459.9999999999986</v>
      </c>
      <c r="Q24" s="46">
        <f t="shared" si="2"/>
        <v>19</v>
      </c>
      <c r="R24" s="47">
        <v>37440.0</v>
      </c>
      <c r="T24" s="46">
        <f t="shared" si="3"/>
        <v>19</v>
      </c>
      <c r="U24" s="47">
        <v>37680.0</v>
      </c>
    </row>
    <row r="25">
      <c r="E25" s="46">
        <v>6.0</v>
      </c>
      <c r="F25" s="55">
        <v>0.00938302204124989</v>
      </c>
      <c r="N25" s="46">
        <f t="shared" si="1"/>
        <v>20</v>
      </c>
      <c r="O25" s="47">
        <v>2399.9999999999986</v>
      </c>
      <c r="Q25" s="46">
        <f t="shared" si="2"/>
        <v>20</v>
      </c>
      <c r="R25" s="47">
        <v>16980.0</v>
      </c>
      <c r="T25" s="46">
        <f t="shared" si="3"/>
        <v>20</v>
      </c>
      <c r="U25" s="47">
        <v>17040.0</v>
      </c>
    </row>
    <row r="26">
      <c r="E26" s="46">
        <v>7.0</v>
      </c>
      <c r="F26" s="55">
        <v>0.007762756214566071</v>
      </c>
      <c r="N26" s="46">
        <f t="shared" si="1"/>
        <v>21</v>
      </c>
      <c r="O26" s="47">
        <v>1020.0000000000011</v>
      </c>
      <c r="Q26" s="46">
        <f t="shared" si="2"/>
        <v>21</v>
      </c>
      <c r="R26" s="47">
        <v>18180.0</v>
      </c>
      <c r="T26" s="46">
        <f t="shared" si="3"/>
        <v>21</v>
      </c>
      <c r="U26" s="47">
        <v>18480.0</v>
      </c>
    </row>
    <row r="27">
      <c r="E27" s="46">
        <v>8.0</v>
      </c>
      <c r="F27" s="55">
        <v>0.0076731248801074235</v>
      </c>
      <c r="N27" s="46">
        <f t="shared" si="1"/>
        <v>22</v>
      </c>
      <c r="O27" s="47">
        <v>1380.0</v>
      </c>
      <c r="Q27" s="46">
        <f t="shared" si="2"/>
        <v>22</v>
      </c>
      <c r="R27" s="47">
        <v>18600.0</v>
      </c>
      <c r="T27" s="46">
        <f t="shared" si="3"/>
        <v>22</v>
      </c>
      <c r="U27" s="47">
        <v>18600.0</v>
      </c>
    </row>
    <row r="28">
      <c r="E28" s="49">
        <v>9.0</v>
      </c>
      <c r="F28" s="56">
        <v>0.0069218580602118255</v>
      </c>
      <c r="N28" s="46">
        <f t="shared" si="1"/>
        <v>23</v>
      </c>
      <c r="O28" s="47">
        <v>1559.9999999999993</v>
      </c>
      <c r="Q28" s="46">
        <f t="shared" si="2"/>
        <v>23</v>
      </c>
      <c r="R28" s="47">
        <v>32280.0</v>
      </c>
      <c r="T28" s="46">
        <f t="shared" si="3"/>
        <v>23</v>
      </c>
      <c r="U28" s="47">
        <v>32460.0</v>
      </c>
    </row>
    <row r="29">
      <c r="N29" s="46">
        <f t="shared" si="1"/>
        <v>24</v>
      </c>
      <c r="O29" s="47">
        <v>3599.999999999999</v>
      </c>
      <c r="Q29" s="46">
        <f t="shared" si="2"/>
        <v>24</v>
      </c>
      <c r="R29" s="47">
        <v>30359.999999999996</v>
      </c>
      <c r="T29" s="46">
        <f t="shared" si="3"/>
        <v>24</v>
      </c>
      <c r="U29" s="47">
        <v>31860.000000000004</v>
      </c>
    </row>
    <row r="30">
      <c r="N30" s="46">
        <f t="shared" si="1"/>
        <v>25</v>
      </c>
      <c r="O30" s="47">
        <v>659.9999999999976</v>
      </c>
      <c r="Q30" s="46">
        <f t="shared" si="2"/>
        <v>25</v>
      </c>
      <c r="R30" s="47">
        <v>37140.0</v>
      </c>
      <c r="T30" s="46">
        <f t="shared" si="3"/>
        <v>25</v>
      </c>
      <c r="U30" s="47">
        <v>37260.0</v>
      </c>
    </row>
    <row r="31">
      <c r="N31" s="46">
        <f t="shared" si="1"/>
        <v>26</v>
      </c>
      <c r="O31" s="47">
        <v>1259.9999999999955</v>
      </c>
      <c r="Q31" s="46">
        <f t="shared" si="2"/>
        <v>26</v>
      </c>
      <c r="R31" s="47">
        <v>33420.0</v>
      </c>
      <c r="T31" s="46">
        <f t="shared" si="3"/>
        <v>26</v>
      </c>
      <c r="U31" s="47">
        <v>34680.0</v>
      </c>
    </row>
    <row r="32">
      <c r="N32" s="46">
        <f t="shared" si="1"/>
        <v>27</v>
      </c>
      <c r="O32" s="47">
        <v>1199.9999999999957</v>
      </c>
      <c r="Q32" s="46">
        <f t="shared" si="2"/>
        <v>27</v>
      </c>
      <c r="R32" s="47">
        <v>32280.0</v>
      </c>
      <c r="T32" s="46">
        <f t="shared" si="3"/>
        <v>27</v>
      </c>
      <c r="U32" s="47">
        <v>32460.0</v>
      </c>
    </row>
    <row r="33">
      <c r="N33" s="46">
        <f t="shared" si="1"/>
        <v>28</v>
      </c>
      <c r="O33" s="47">
        <v>5639.999999999999</v>
      </c>
      <c r="Q33" s="46">
        <f t="shared" si="2"/>
        <v>28</v>
      </c>
      <c r="R33" s="47">
        <v>34680.0</v>
      </c>
      <c r="T33" s="46">
        <f t="shared" si="3"/>
        <v>28</v>
      </c>
      <c r="U33" s="47">
        <v>34920.0</v>
      </c>
    </row>
    <row r="34">
      <c r="N34" s="46">
        <f t="shared" si="1"/>
        <v>29</v>
      </c>
      <c r="O34" s="47">
        <v>3359.9999999999977</v>
      </c>
      <c r="Q34" s="46">
        <f t="shared" si="2"/>
        <v>29</v>
      </c>
      <c r="R34" s="47">
        <v>36420.0</v>
      </c>
      <c r="T34" s="46">
        <f t="shared" si="3"/>
        <v>29</v>
      </c>
      <c r="U34" s="47">
        <v>37260.0</v>
      </c>
    </row>
    <row r="35">
      <c r="N35" s="46">
        <f t="shared" si="1"/>
        <v>30</v>
      </c>
      <c r="O35" s="47">
        <v>1980.0000000000002</v>
      </c>
      <c r="Q35" s="46">
        <f t="shared" si="2"/>
        <v>30</v>
      </c>
      <c r="R35" s="47">
        <v>42600.0</v>
      </c>
      <c r="T35" s="46">
        <f t="shared" si="3"/>
        <v>30</v>
      </c>
      <c r="U35" s="47">
        <v>42840.0</v>
      </c>
    </row>
    <row r="36">
      <c r="N36" s="46">
        <f t="shared" si="1"/>
        <v>31</v>
      </c>
      <c r="O36" s="47">
        <v>659.9999999999976</v>
      </c>
      <c r="Q36" s="46">
        <f t="shared" si="2"/>
        <v>31</v>
      </c>
      <c r="R36" s="47">
        <v>37380.0</v>
      </c>
      <c r="T36" s="46">
        <f t="shared" si="3"/>
        <v>31</v>
      </c>
      <c r="U36" s="47">
        <v>37680.0</v>
      </c>
    </row>
    <row r="37">
      <c r="N37" s="46">
        <f t="shared" si="1"/>
        <v>32</v>
      </c>
      <c r="O37" s="47">
        <v>1019.9999999999987</v>
      </c>
      <c r="Q37" s="46">
        <f t="shared" si="2"/>
        <v>32</v>
      </c>
      <c r="R37" s="47">
        <v>16860.0</v>
      </c>
      <c r="T37" s="46">
        <f t="shared" si="3"/>
        <v>32</v>
      </c>
      <c r="U37" s="47">
        <v>17040.0</v>
      </c>
    </row>
    <row r="38">
      <c r="N38" s="46">
        <f t="shared" si="1"/>
        <v>33</v>
      </c>
      <c r="O38" s="47">
        <v>4020.0</v>
      </c>
      <c r="Q38" s="46">
        <f t="shared" si="2"/>
        <v>33</v>
      </c>
      <c r="R38" s="47">
        <v>19080.0</v>
      </c>
      <c r="T38" s="46">
        <f t="shared" si="3"/>
        <v>33</v>
      </c>
      <c r="U38" s="47">
        <v>19380.0</v>
      </c>
    </row>
    <row r="39">
      <c r="N39" s="46">
        <f t="shared" si="1"/>
        <v>34</v>
      </c>
      <c r="O39" s="47">
        <v>179.99999999999937</v>
      </c>
      <c r="Q39" s="46">
        <f t="shared" si="2"/>
        <v>34</v>
      </c>
      <c r="R39" s="47">
        <v>18360.0</v>
      </c>
      <c r="T39" s="46">
        <f t="shared" si="3"/>
        <v>34</v>
      </c>
      <c r="U39" s="47">
        <v>18480.0</v>
      </c>
    </row>
    <row r="40">
      <c r="N40" s="49">
        <f t="shared" si="1"/>
        <v>35</v>
      </c>
      <c r="O40" s="50">
        <v>5340.0</v>
      </c>
      <c r="Q40" s="49">
        <f t="shared" si="2"/>
        <v>35</v>
      </c>
      <c r="R40" s="50">
        <v>18060.0</v>
      </c>
      <c r="T40" s="49">
        <f t="shared" si="3"/>
        <v>35</v>
      </c>
      <c r="U40" s="50">
        <v>18060.0</v>
      </c>
    </row>
  </sheetData>
  <mergeCells count="11">
    <mergeCell ref="H4:I4"/>
    <mergeCell ref="B16:I17"/>
    <mergeCell ref="B18:C18"/>
    <mergeCell ref="E18:F18"/>
    <mergeCell ref="B2:R3"/>
    <mergeCell ref="B4:C4"/>
    <mergeCell ref="E4:F4"/>
    <mergeCell ref="K4:L4"/>
    <mergeCell ref="N4:O4"/>
    <mergeCell ref="Q4:R4"/>
    <mergeCell ref="T4:U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16.63"/>
    <col customWidth="1" min="12" max="12" width="16.88"/>
    <col customWidth="1" min="13" max="13" width="15.38"/>
    <col customWidth="1" min="14" max="14" width="17.63"/>
    <col customWidth="1" min="15" max="15" width="17.13"/>
  </cols>
  <sheetData>
    <row r="1">
      <c r="A1" s="38"/>
      <c r="C1" s="38"/>
      <c r="D1" s="57" t="s">
        <v>37</v>
      </c>
      <c r="K1" s="57" t="s">
        <v>38</v>
      </c>
    </row>
    <row r="2">
      <c r="A2" s="38" t="s">
        <v>9</v>
      </c>
      <c r="B2" s="38" t="s">
        <v>10</v>
      </c>
      <c r="C2" s="38" t="s">
        <v>39</v>
      </c>
      <c r="D2" s="38" t="s">
        <v>40</v>
      </c>
      <c r="E2" s="38" t="s">
        <v>41</v>
      </c>
      <c r="F2" s="38"/>
      <c r="G2" s="38"/>
      <c r="H2" s="38" t="s">
        <v>14</v>
      </c>
      <c r="J2" s="38"/>
      <c r="K2" s="38" t="s">
        <v>9</v>
      </c>
      <c r="L2" s="38" t="s">
        <v>42</v>
      </c>
      <c r="M2" s="38" t="s">
        <v>43</v>
      </c>
      <c r="N2" s="38" t="s">
        <v>40</v>
      </c>
      <c r="O2" s="38" t="s">
        <v>44</v>
      </c>
      <c r="P2" s="38"/>
      <c r="Q2" s="38" t="s">
        <v>9</v>
      </c>
      <c r="R2" s="38" t="s">
        <v>45</v>
      </c>
      <c r="S2" s="38"/>
      <c r="T2" s="38" t="s">
        <v>9</v>
      </c>
      <c r="U2" s="57" t="s">
        <v>46</v>
      </c>
      <c r="V2" s="57" t="s">
        <v>7</v>
      </c>
      <c r="W2" s="57" t="s">
        <v>47</v>
      </c>
      <c r="X2" s="38" t="s">
        <v>9</v>
      </c>
      <c r="Y2" s="57" t="s">
        <v>23</v>
      </c>
      <c r="Z2" s="57" t="s">
        <v>7</v>
      </c>
      <c r="AA2" s="57" t="s">
        <v>48</v>
      </c>
    </row>
    <row r="3">
      <c r="A3" s="38">
        <v>1.0</v>
      </c>
      <c r="B3" s="58">
        <v>0.3229166666666667</v>
      </c>
      <c r="C3" s="58">
        <v>0.37777777777777777</v>
      </c>
      <c r="D3" s="59">
        <f t="shared" ref="D3:D37" si="1">C3-B3</f>
        <v>0.05486111111</v>
      </c>
      <c r="E3" s="60">
        <f t="shared" ref="E3:E37" si="2">D3*1440</f>
        <v>79</v>
      </c>
      <c r="F3" s="61" t="s">
        <v>15</v>
      </c>
      <c r="G3" s="61">
        <f>AVERAGE(E3:E37)</f>
        <v>38.28571429</v>
      </c>
      <c r="H3" s="62" t="s">
        <v>16</v>
      </c>
      <c r="I3" s="63">
        <f>LN((G3^2)/SQRT(G4^2 + G3^2))</f>
        <v>3.456669482</v>
      </c>
      <c r="J3" s="61"/>
      <c r="K3" s="38">
        <v>1.0</v>
      </c>
      <c r="L3" s="58">
        <v>0.4521759259259259</v>
      </c>
      <c r="M3" s="58">
        <v>0.4524768518518518</v>
      </c>
      <c r="N3" s="58">
        <f t="shared" ref="N3:N26" si="3">M3-L3</f>
        <v>0.0003009259259</v>
      </c>
      <c r="O3" s="61">
        <f t="shared" ref="O3:O26" si="4">N3*1440</f>
        <v>0.4333333333</v>
      </c>
      <c r="P3" s="38"/>
      <c r="Q3" s="38">
        <v>1.0</v>
      </c>
      <c r="R3" s="58">
        <v>0.37777777777777777</v>
      </c>
      <c r="T3" s="38">
        <v>1.0</v>
      </c>
      <c r="U3" s="58">
        <v>0.38680555555555557</v>
      </c>
      <c r="V3" s="58">
        <f t="shared" ref="V3:V37" si="5">U3-R3</f>
        <v>0.009027777778</v>
      </c>
      <c r="W3" s="64">
        <f t="shared" ref="W3:W37" si="6">(V3*1440)</f>
        <v>13</v>
      </c>
      <c r="X3" s="38">
        <v>1.0</v>
      </c>
      <c r="Y3" s="65">
        <v>0.4013888888888889</v>
      </c>
      <c r="Z3" s="58">
        <f t="shared" ref="Z3:Z37" si="7">Y3-U3</f>
        <v>0.01458333333</v>
      </c>
      <c r="AA3" s="64">
        <f t="shared" ref="AA3:AA37" si="8">Z3*1440</f>
        <v>21</v>
      </c>
      <c r="AB3" s="61"/>
    </row>
    <row r="4">
      <c r="A4" s="48">
        <f t="shared" ref="A4:A37" si="9">A3+1</f>
        <v>2</v>
      </c>
      <c r="B4" s="58">
        <v>0.16666666666666666</v>
      </c>
      <c r="C4" s="58">
        <v>0.18125</v>
      </c>
      <c r="D4" s="59">
        <f t="shared" si="1"/>
        <v>0.01458333333</v>
      </c>
      <c r="E4" s="60">
        <f t="shared" si="2"/>
        <v>21</v>
      </c>
      <c r="F4" s="38" t="s">
        <v>17</v>
      </c>
      <c r="G4" s="48">
        <f>STDEV(E3:E37)</f>
        <v>25.8997745</v>
      </c>
      <c r="H4" s="62" t="s">
        <v>18</v>
      </c>
      <c r="I4" s="66">
        <f>SQRT(LN(1 + (G4^2)/(G3^2)))</f>
        <v>0.6138523435</v>
      </c>
      <c r="K4" s="38">
        <v>2.0</v>
      </c>
      <c r="L4" s="58">
        <v>0.47006944444444443</v>
      </c>
      <c r="M4" s="58">
        <v>0.4706828703703704</v>
      </c>
      <c r="N4" s="58">
        <f t="shared" si="3"/>
        <v>0.0006134259259</v>
      </c>
      <c r="O4" s="61">
        <f t="shared" si="4"/>
        <v>0.8833333333</v>
      </c>
      <c r="Q4" s="48">
        <f t="shared" ref="Q4:Q37" si="10">Q3+1</f>
        <v>2</v>
      </c>
      <c r="R4" s="58">
        <v>0.37777777777777777</v>
      </c>
      <c r="T4" s="48">
        <f t="shared" ref="T4:T37" si="11">T3+1</f>
        <v>2</v>
      </c>
      <c r="U4" s="58">
        <v>0.42986111111111114</v>
      </c>
      <c r="V4" s="58">
        <f t="shared" si="5"/>
        <v>0.05208333333</v>
      </c>
      <c r="W4" s="64">
        <f t="shared" si="6"/>
        <v>75</v>
      </c>
      <c r="X4" s="48">
        <f t="shared" ref="X4:X37" si="12">X3+1</f>
        <v>2</v>
      </c>
      <c r="Y4" s="65">
        <v>0.4305555555555556</v>
      </c>
      <c r="Z4" s="58">
        <f t="shared" si="7"/>
        <v>0.0006944444444</v>
      </c>
      <c r="AA4" s="64">
        <f t="shared" si="8"/>
        <v>1</v>
      </c>
    </row>
    <row r="5">
      <c r="A5" s="48">
        <f t="shared" si="9"/>
        <v>3</v>
      </c>
      <c r="B5" s="58">
        <v>0.38472222222222224</v>
      </c>
      <c r="C5" s="58">
        <v>0.3923611111111111</v>
      </c>
      <c r="D5" s="59">
        <f t="shared" si="1"/>
        <v>0.007638888889</v>
      </c>
      <c r="E5" s="60">
        <f t="shared" si="2"/>
        <v>11</v>
      </c>
      <c r="K5" s="38">
        <v>3.0</v>
      </c>
      <c r="L5" s="58">
        <v>0.47607638888888887</v>
      </c>
      <c r="M5" s="58">
        <v>0.4791666666666667</v>
      </c>
      <c r="N5" s="58">
        <f t="shared" si="3"/>
        <v>0.003090277778</v>
      </c>
      <c r="O5" s="61">
        <f t="shared" si="4"/>
        <v>4.45</v>
      </c>
      <c r="Q5" s="48">
        <f t="shared" si="10"/>
        <v>3</v>
      </c>
      <c r="R5" s="58">
        <v>0.37777777777777777</v>
      </c>
      <c r="T5" s="48">
        <f t="shared" si="11"/>
        <v>3</v>
      </c>
      <c r="U5" s="58">
        <v>0.4013888888888889</v>
      </c>
      <c r="V5" s="58">
        <f t="shared" si="5"/>
        <v>0.02361111111</v>
      </c>
      <c r="W5" s="64">
        <f t="shared" si="6"/>
        <v>34</v>
      </c>
      <c r="X5" s="48">
        <f t="shared" si="12"/>
        <v>3</v>
      </c>
      <c r="Y5" s="65">
        <v>0.4041666666666667</v>
      </c>
      <c r="Z5" s="58">
        <f t="shared" si="7"/>
        <v>0.002777777778</v>
      </c>
      <c r="AA5" s="64">
        <f t="shared" si="8"/>
        <v>4</v>
      </c>
    </row>
    <row r="6">
      <c r="A6" s="48">
        <f t="shared" si="9"/>
        <v>4</v>
      </c>
      <c r="B6" s="58">
        <v>0.14583333333333334</v>
      </c>
      <c r="C6" s="58">
        <v>0.18125</v>
      </c>
      <c r="D6" s="59">
        <f t="shared" si="1"/>
        <v>0.03541666667</v>
      </c>
      <c r="E6" s="60">
        <f t="shared" si="2"/>
        <v>51</v>
      </c>
      <c r="K6" s="38">
        <v>4.0</v>
      </c>
      <c r="L6" s="58">
        <v>0.4855671296296296</v>
      </c>
      <c r="M6" s="58">
        <v>0.4857986111111111</v>
      </c>
      <c r="N6" s="58">
        <f t="shared" si="3"/>
        <v>0.0002314814815</v>
      </c>
      <c r="O6" s="61">
        <f t="shared" si="4"/>
        <v>0.3333333333</v>
      </c>
      <c r="Q6" s="48">
        <f t="shared" si="10"/>
        <v>4</v>
      </c>
      <c r="R6" s="58">
        <v>0.3923611111111111</v>
      </c>
      <c r="T6" s="48">
        <f t="shared" si="11"/>
        <v>4</v>
      </c>
      <c r="U6" s="58">
        <v>0.43333333333333335</v>
      </c>
      <c r="V6" s="58">
        <f t="shared" si="5"/>
        <v>0.04097222222</v>
      </c>
      <c r="W6" s="64">
        <f t="shared" si="6"/>
        <v>59</v>
      </c>
      <c r="X6" s="48">
        <f t="shared" si="12"/>
        <v>4</v>
      </c>
      <c r="Y6" s="65">
        <v>0.4361111111111111</v>
      </c>
      <c r="Z6" s="58">
        <f t="shared" si="7"/>
        <v>0.002777777778</v>
      </c>
      <c r="AA6" s="64">
        <f t="shared" si="8"/>
        <v>4</v>
      </c>
    </row>
    <row r="7">
      <c r="A7" s="48">
        <f t="shared" si="9"/>
        <v>5</v>
      </c>
      <c r="B7" s="58">
        <v>0.1423611111111111</v>
      </c>
      <c r="C7" s="58">
        <v>0.18125</v>
      </c>
      <c r="D7" s="59">
        <f t="shared" si="1"/>
        <v>0.03888888889</v>
      </c>
      <c r="E7" s="60">
        <f t="shared" si="2"/>
        <v>56</v>
      </c>
      <c r="K7" s="38">
        <v>5.0</v>
      </c>
      <c r="L7" s="67">
        <v>0.36319444444444443</v>
      </c>
      <c r="M7" s="67">
        <v>0.3643287037037037</v>
      </c>
      <c r="N7" s="67">
        <f t="shared" si="3"/>
        <v>0.001134259259</v>
      </c>
      <c r="O7" s="61">
        <f t="shared" si="4"/>
        <v>1.633333333</v>
      </c>
      <c r="Q7" s="48">
        <f t="shared" si="10"/>
        <v>5</v>
      </c>
      <c r="R7" s="58">
        <v>0.18055555555555555</v>
      </c>
      <c r="T7" s="48">
        <f t="shared" si="11"/>
        <v>5</v>
      </c>
      <c r="U7" s="58">
        <v>0.2013888888888889</v>
      </c>
      <c r="V7" s="58">
        <f t="shared" si="5"/>
        <v>0.02083333333</v>
      </c>
      <c r="W7" s="64">
        <f t="shared" si="6"/>
        <v>30</v>
      </c>
      <c r="X7" s="48">
        <f t="shared" si="12"/>
        <v>5</v>
      </c>
      <c r="Y7" s="65">
        <v>0.20208333333333334</v>
      </c>
      <c r="Z7" s="58">
        <f t="shared" si="7"/>
        <v>0.0006944444444</v>
      </c>
      <c r="AA7" s="64">
        <f t="shared" si="8"/>
        <v>1</v>
      </c>
    </row>
    <row r="8">
      <c r="A8" s="48">
        <f t="shared" si="9"/>
        <v>6</v>
      </c>
      <c r="B8" s="58">
        <v>0.1423611111111111</v>
      </c>
      <c r="C8" s="58">
        <v>0.18125</v>
      </c>
      <c r="D8" s="59">
        <f t="shared" si="1"/>
        <v>0.03888888889</v>
      </c>
      <c r="E8" s="60">
        <f t="shared" si="2"/>
        <v>56</v>
      </c>
      <c r="K8" s="38">
        <v>6.0</v>
      </c>
      <c r="L8" s="67">
        <v>0.3648726851851852</v>
      </c>
      <c r="M8" s="67">
        <v>0.3653125</v>
      </c>
      <c r="N8" s="67">
        <f t="shared" si="3"/>
        <v>0.0004398148148</v>
      </c>
      <c r="O8" s="61">
        <f t="shared" si="4"/>
        <v>0.6333333333</v>
      </c>
      <c r="Q8" s="48">
        <f t="shared" si="10"/>
        <v>6</v>
      </c>
      <c r="R8" s="58">
        <v>0.18125</v>
      </c>
      <c r="T8" s="48">
        <f t="shared" si="11"/>
        <v>6</v>
      </c>
      <c r="U8" s="58">
        <v>0.20902777777777778</v>
      </c>
      <c r="V8" s="58">
        <f t="shared" si="5"/>
        <v>0.02777777778</v>
      </c>
      <c r="W8" s="64">
        <f t="shared" si="6"/>
        <v>40</v>
      </c>
      <c r="X8" s="48">
        <f t="shared" si="12"/>
        <v>6</v>
      </c>
      <c r="Y8" s="65">
        <v>0.20902777777777778</v>
      </c>
      <c r="Z8" s="58">
        <f t="shared" si="7"/>
        <v>0</v>
      </c>
      <c r="AA8" s="64">
        <f t="shared" si="8"/>
        <v>0</v>
      </c>
    </row>
    <row r="9">
      <c r="A9" s="48">
        <f t="shared" si="9"/>
        <v>7</v>
      </c>
      <c r="B9" s="58">
        <v>0.3840277777777778</v>
      </c>
      <c r="C9" s="58">
        <v>0.3923611111111111</v>
      </c>
      <c r="D9" s="59">
        <f t="shared" si="1"/>
        <v>0.008333333333</v>
      </c>
      <c r="E9" s="60">
        <f t="shared" si="2"/>
        <v>12</v>
      </c>
      <c r="K9" s="38">
        <v>7.0</v>
      </c>
      <c r="L9" s="67">
        <v>0.3894328703703704</v>
      </c>
      <c r="M9" s="67">
        <v>0.38993055555555556</v>
      </c>
      <c r="N9" s="67">
        <f t="shared" si="3"/>
        <v>0.0004976851852</v>
      </c>
      <c r="O9" s="61">
        <f t="shared" si="4"/>
        <v>0.7166666667</v>
      </c>
      <c r="Q9" s="48">
        <f t="shared" si="10"/>
        <v>7</v>
      </c>
      <c r="R9" s="58">
        <v>0.18055555555555555</v>
      </c>
      <c r="T9" s="48">
        <f t="shared" si="11"/>
        <v>7</v>
      </c>
      <c r="U9" s="58">
        <v>0.19930555555555557</v>
      </c>
      <c r="V9" s="58">
        <f t="shared" si="5"/>
        <v>0.01875</v>
      </c>
      <c r="W9" s="64">
        <f t="shared" si="6"/>
        <v>27</v>
      </c>
      <c r="X9" s="48">
        <f t="shared" si="12"/>
        <v>7</v>
      </c>
      <c r="Y9" s="65">
        <v>0.20069444444444445</v>
      </c>
      <c r="Z9" s="58">
        <f t="shared" si="7"/>
        <v>0.001388888889</v>
      </c>
      <c r="AA9" s="64">
        <f t="shared" si="8"/>
        <v>2</v>
      </c>
    </row>
    <row r="10">
      <c r="A10" s="48">
        <f t="shared" si="9"/>
        <v>8</v>
      </c>
      <c r="B10" s="58">
        <v>0.3888888888888889</v>
      </c>
      <c r="C10" s="58">
        <v>0.4125</v>
      </c>
      <c r="D10" s="59">
        <f t="shared" si="1"/>
        <v>0.02361111111</v>
      </c>
      <c r="E10" s="60">
        <f t="shared" si="2"/>
        <v>34</v>
      </c>
      <c r="K10" s="38">
        <v>8.0</v>
      </c>
      <c r="L10" s="67">
        <v>0.45108796296296294</v>
      </c>
      <c r="M10" s="67">
        <v>0.45511574074074074</v>
      </c>
      <c r="N10" s="67">
        <f t="shared" si="3"/>
        <v>0.004027777778</v>
      </c>
      <c r="O10" s="61">
        <f t="shared" si="4"/>
        <v>5.8</v>
      </c>
      <c r="Q10" s="48">
        <f t="shared" si="10"/>
        <v>8</v>
      </c>
      <c r="R10" s="58">
        <v>0.18125</v>
      </c>
      <c r="T10" s="48">
        <f t="shared" si="11"/>
        <v>8</v>
      </c>
      <c r="U10" s="58">
        <v>0.2076388888888889</v>
      </c>
      <c r="V10" s="58">
        <f t="shared" si="5"/>
        <v>0.02638888889</v>
      </c>
      <c r="W10" s="64">
        <f t="shared" si="6"/>
        <v>38</v>
      </c>
      <c r="X10" s="48">
        <f t="shared" si="12"/>
        <v>8</v>
      </c>
      <c r="Y10" s="65">
        <v>0.20902777777777778</v>
      </c>
      <c r="Z10" s="58">
        <f t="shared" si="7"/>
        <v>0.001388888889</v>
      </c>
      <c r="AA10" s="64">
        <f t="shared" si="8"/>
        <v>2</v>
      </c>
    </row>
    <row r="11">
      <c r="A11" s="48">
        <f t="shared" si="9"/>
        <v>9</v>
      </c>
      <c r="B11" s="58">
        <v>0.16666666666666666</v>
      </c>
      <c r="C11" s="58">
        <v>0.18194444444444444</v>
      </c>
      <c r="D11" s="59">
        <f t="shared" si="1"/>
        <v>0.01527777778</v>
      </c>
      <c r="E11" s="60">
        <f t="shared" si="2"/>
        <v>22</v>
      </c>
      <c r="K11" s="38">
        <v>9.0</v>
      </c>
      <c r="L11" s="67">
        <v>0.45913194444444444</v>
      </c>
      <c r="M11" s="67">
        <v>0.4600462962962963</v>
      </c>
      <c r="N11" s="67">
        <f t="shared" si="3"/>
        <v>0.0009143518519</v>
      </c>
      <c r="O11" s="61">
        <f t="shared" si="4"/>
        <v>1.316666667</v>
      </c>
      <c r="Q11" s="48">
        <f t="shared" si="10"/>
        <v>9</v>
      </c>
      <c r="R11" s="58">
        <v>0.18125</v>
      </c>
      <c r="T11" s="48">
        <f t="shared" si="11"/>
        <v>9</v>
      </c>
      <c r="U11" s="58">
        <v>0.20972222222222223</v>
      </c>
      <c r="V11" s="58">
        <f t="shared" si="5"/>
        <v>0.02847222222</v>
      </c>
      <c r="W11" s="64">
        <f t="shared" si="6"/>
        <v>41</v>
      </c>
      <c r="X11" s="48">
        <f t="shared" si="12"/>
        <v>9</v>
      </c>
      <c r="Y11" s="65">
        <v>0.21388888888888888</v>
      </c>
      <c r="Z11" s="58">
        <f t="shared" si="7"/>
        <v>0.004166666667</v>
      </c>
      <c r="AA11" s="64">
        <f t="shared" si="8"/>
        <v>6</v>
      </c>
    </row>
    <row r="12">
      <c r="A12" s="48">
        <f t="shared" si="9"/>
        <v>10</v>
      </c>
      <c r="B12" s="58">
        <v>0.6993055555555555</v>
      </c>
      <c r="C12" s="58">
        <v>0.7055555555555556</v>
      </c>
      <c r="D12" s="59">
        <f t="shared" si="1"/>
        <v>0.00625</v>
      </c>
      <c r="E12" s="60">
        <f t="shared" si="2"/>
        <v>9</v>
      </c>
      <c r="K12" s="38">
        <v>10.0</v>
      </c>
      <c r="L12" s="67">
        <v>0.46524305555555556</v>
      </c>
      <c r="M12" s="67">
        <v>0.4673263888888889</v>
      </c>
      <c r="N12" s="67">
        <f t="shared" si="3"/>
        <v>0.002083333333</v>
      </c>
      <c r="O12" s="61">
        <f t="shared" si="4"/>
        <v>3</v>
      </c>
      <c r="Q12" s="48">
        <f t="shared" si="10"/>
        <v>10</v>
      </c>
      <c r="R12" s="58">
        <v>0.17847222222222223</v>
      </c>
      <c r="T12" s="48">
        <f t="shared" si="11"/>
        <v>10</v>
      </c>
      <c r="U12" s="58">
        <v>0.2013888888888889</v>
      </c>
      <c r="V12" s="58">
        <f t="shared" si="5"/>
        <v>0.02291666667</v>
      </c>
      <c r="W12" s="64">
        <f t="shared" si="6"/>
        <v>33</v>
      </c>
      <c r="X12" s="48">
        <f t="shared" si="12"/>
        <v>10</v>
      </c>
      <c r="Y12" s="65">
        <v>0.20208333333333334</v>
      </c>
      <c r="Z12" s="58">
        <f t="shared" si="7"/>
        <v>0.0006944444444</v>
      </c>
      <c r="AA12" s="64">
        <f t="shared" si="8"/>
        <v>1</v>
      </c>
    </row>
    <row r="13">
      <c r="A13" s="48">
        <f t="shared" si="9"/>
        <v>11</v>
      </c>
      <c r="B13" s="58">
        <v>0.16666666666666666</v>
      </c>
      <c r="C13" s="58">
        <v>0.18263888888888888</v>
      </c>
      <c r="D13" s="59">
        <f t="shared" si="1"/>
        <v>0.01597222222</v>
      </c>
      <c r="E13" s="60">
        <f t="shared" si="2"/>
        <v>23</v>
      </c>
      <c r="K13" s="38">
        <v>11.0</v>
      </c>
      <c r="L13" s="67">
        <v>0.45108796296296294</v>
      </c>
      <c r="M13" s="67">
        <v>0.45511574074074074</v>
      </c>
      <c r="N13" s="67">
        <f t="shared" si="3"/>
        <v>0.004027777778</v>
      </c>
      <c r="O13" s="61">
        <f t="shared" si="4"/>
        <v>5.8</v>
      </c>
      <c r="Q13" s="48">
        <f t="shared" si="10"/>
        <v>11</v>
      </c>
      <c r="R13" s="58">
        <v>0.18194444444444444</v>
      </c>
      <c r="T13" s="48">
        <f t="shared" si="11"/>
        <v>11</v>
      </c>
      <c r="U13" s="58">
        <v>0.21319444444444444</v>
      </c>
      <c r="V13" s="58">
        <f t="shared" si="5"/>
        <v>0.03125</v>
      </c>
      <c r="W13" s="64">
        <f t="shared" si="6"/>
        <v>45</v>
      </c>
      <c r="X13" s="48">
        <f t="shared" si="12"/>
        <v>11</v>
      </c>
      <c r="Y13" s="65">
        <v>0.21388888888888888</v>
      </c>
      <c r="Z13" s="58">
        <f t="shared" si="7"/>
        <v>0.0006944444444</v>
      </c>
      <c r="AA13" s="64">
        <f t="shared" si="8"/>
        <v>1</v>
      </c>
    </row>
    <row r="14">
      <c r="A14" s="48">
        <f t="shared" si="9"/>
        <v>12</v>
      </c>
      <c r="B14" s="58">
        <v>0.16666666666666666</v>
      </c>
      <c r="C14" s="58">
        <v>0.18194444444444444</v>
      </c>
      <c r="D14" s="59">
        <f t="shared" si="1"/>
        <v>0.01527777778</v>
      </c>
      <c r="E14" s="60">
        <f t="shared" si="2"/>
        <v>22</v>
      </c>
      <c r="K14" s="38">
        <v>12.0</v>
      </c>
      <c r="L14" s="67">
        <v>0.3110763888888889</v>
      </c>
      <c r="M14" s="67">
        <v>0.3119675925925926</v>
      </c>
      <c r="N14" s="67">
        <f t="shared" si="3"/>
        <v>0.0008912037037</v>
      </c>
      <c r="O14" s="61">
        <f t="shared" si="4"/>
        <v>1.283333333</v>
      </c>
      <c r="Q14" s="48">
        <f t="shared" si="10"/>
        <v>12</v>
      </c>
      <c r="R14" s="58">
        <v>0.3875</v>
      </c>
      <c r="T14" s="48">
        <f t="shared" si="11"/>
        <v>12</v>
      </c>
      <c r="U14" s="58">
        <v>0.42986111111111114</v>
      </c>
      <c r="V14" s="58">
        <f t="shared" si="5"/>
        <v>0.04236111111</v>
      </c>
      <c r="W14" s="64">
        <f t="shared" si="6"/>
        <v>61</v>
      </c>
      <c r="X14" s="48">
        <f t="shared" si="12"/>
        <v>12</v>
      </c>
      <c r="Y14" s="65">
        <v>0.4305555555555556</v>
      </c>
      <c r="Z14" s="58">
        <f t="shared" si="7"/>
        <v>0.0006944444444</v>
      </c>
      <c r="AA14" s="64">
        <f t="shared" si="8"/>
        <v>1</v>
      </c>
    </row>
    <row r="15">
      <c r="A15" s="48">
        <f t="shared" si="9"/>
        <v>13</v>
      </c>
      <c r="B15" s="58">
        <v>0.2875</v>
      </c>
      <c r="C15" s="58">
        <v>0.34305555555555556</v>
      </c>
      <c r="D15" s="59">
        <f t="shared" si="1"/>
        <v>0.05555555556</v>
      </c>
      <c r="E15" s="60">
        <f t="shared" si="2"/>
        <v>80</v>
      </c>
      <c r="K15" s="38">
        <v>13.0</v>
      </c>
      <c r="L15" s="67">
        <v>0.31622685185185184</v>
      </c>
      <c r="M15" s="67">
        <v>0.316875</v>
      </c>
      <c r="N15" s="67">
        <f t="shared" si="3"/>
        <v>0.0006481481481</v>
      </c>
      <c r="O15" s="61">
        <f t="shared" si="4"/>
        <v>0.9333333333</v>
      </c>
      <c r="Q15" s="48">
        <f t="shared" si="10"/>
        <v>13</v>
      </c>
      <c r="R15" s="58">
        <v>0.7055555555555556</v>
      </c>
      <c r="T15" s="48">
        <f t="shared" si="11"/>
        <v>13</v>
      </c>
      <c r="U15" s="58">
        <v>0.7131944444444445</v>
      </c>
      <c r="V15" s="58">
        <f t="shared" si="5"/>
        <v>0.007638888889</v>
      </c>
      <c r="W15" s="64">
        <f t="shared" si="6"/>
        <v>11</v>
      </c>
      <c r="X15" s="48">
        <f t="shared" si="12"/>
        <v>13</v>
      </c>
      <c r="Y15" s="65">
        <v>0.7305555555555555</v>
      </c>
      <c r="Z15" s="58">
        <f t="shared" si="7"/>
        <v>0.01736111111</v>
      </c>
      <c r="AA15" s="64">
        <f t="shared" si="8"/>
        <v>25</v>
      </c>
    </row>
    <row r="16">
      <c r="A16" s="48">
        <f t="shared" si="9"/>
        <v>14</v>
      </c>
      <c r="B16" s="58">
        <v>0.16666666666666666</v>
      </c>
      <c r="C16" s="58">
        <v>0.18194444444444444</v>
      </c>
      <c r="D16" s="59">
        <f t="shared" si="1"/>
        <v>0.01527777778</v>
      </c>
      <c r="E16" s="60">
        <f t="shared" si="2"/>
        <v>22</v>
      </c>
      <c r="K16" s="38">
        <v>14.0</v>
      </c>
      <c r="L16" s="67">
        <v>0.3268287037037037</v>
      </c>
      <c r="M16" s="67">
        <v>0.32814814814814813</v>
      </c>
      <c r="N16" s="67">
        <f t="shared" si="3"/>
        <v>0.001319444444</v>
      </c>
      <c r="O16" s="61">
        <f t="shared" si="4"/>
        <v>1.9</v>
      </c>
      <c r="Q16" s="48">
        <f t="shared" si="10"/>
        <v>14</v>
      </c>
      <c r="R16" s="58">
        <v>0.7055555555555556</v>
      </c>
      <c r="T16" s="48">
        <f t="shared" si="11"/>
        <v>14</v>
      </c>
      <c r="U16" s="58">
        <v>0.7395833333333334</v>
      </c>
      <c r="V16" s="58">
        <f t="shared" si="5"/>
        <v>0.03402777778</v>
      </c>
      <c r="W16" s="64">
        <f t="shared" si="6"/>
        <v>49</v>
      </c>
      <c r="X16" s="48">
        <f t="shared" si="12"/>
        <v>14</v>
      </c>
      <c r="Y16" s="65">
        <v>0.7430555555555556</v>
      </c>
      <c r="Z16" s="58">
        <f t="shared" si="7"/>
        <v>0.003472222222</v>
      </c>
      <c r="AA16" s="64">
        <f t="shared" si="8"/>
        <v>5</v>
      </c>
    </row>
    <row r="17">
      <c r="A17" s="48">
        <f t="shared" si="9"/>
        <v>15</v>
      </c>
      <c r="B17" s="58">
        <v>0.3486111111111111</v>
      </c>
      <c r="C17" s="58">
        <v>0.37777777777777777</v>
      </c>
      <c r="D17" s="59">
        <f t="shared" si="1"/>
        <v>0.02916666667</v>
      </c>
      <c r="E17" s="60">
        <f t="shared" si="2"/>
        <v>42</v>
      </c>
      <c r="K17" s="38">
        <v>15.0</v>
      </c>
      <c r="L17" s="67">
        <v>0.3308449074074074</v>
      </c>
      <c r="M17" s="65">
        <v>0.3368055555555556</v>
      </c>
      <c r="N17" s="65">
        <f t="shared" si="3"/>
        <v>0.005960648148</v>
      </c>
      <c r="O17" s="61">
        <f t="shared" si="4"/>
        <v>8.583333333</v>
      </c>
      <c r="Q17" s="48">
        <f t="shared" si="10"/>
        <v>15</v>
      </c>
      <c r="R17" s="58">
        <v>0.7055555555555556</v>
      </c>
      <c r="T17" s="48">
        <f t="shared" si="11"/>
        <v>15</v>
      </c>
      <c r="U17" s="58">
        <v>0.7451388888888889</v>
      </c>
      <c r="V17" s="58">
        <f t="shared" si="5"/>
        <v>0.03958333333</v>
      </c>
      <c r="W17" s="64">
        <f t="shared" si="6"/>
        <v>57</v>
      </c>
      <c r="X17" s="48">
        <f t="shared" si="12"/>
        <v>15</v>
      </c>
      <c r="Y17" s="65">
        <v>0.7465277777777778</v>
      </c>
      <c r="Z17" s="58">
        <f t="shared" si="7"/>
        <v>0.001388888889</v>
      </c>
      <c r="AA17" s="64">
        <f t="shared" si="8"/>
        <v>2</v>
      </c>
    </row>
    <row r="18">
      <c r="A18" s="48">
        <f t="shared" si="9"/>
        <v>16</v>
      </c>
      <c r="B18" s="58">
        <v>0.16666666666666666</v>
      </c>
      <c r="C18" s="58">
        <v>0.18263888888888888</v>
      </c>
      <c r="D18" s="59">
        <f t="shared" si="1"/>
        <v>0.01597222222</v>
      </c>
      <c r="E18" s="60">
        <f t="shared" si="2"/>
        <v>23</v>
      </c>
      <c r="K18" s="38">
        <v>16.0</v>
      </c>
      <c r="L18" s="67">
        <v>0.34511574074074075</v>
      </c>
      <c r="M18" s="67">
        <v>0.3459027777777778</v>
      </c>
      <c r="N18" s="67">
        <f t="shared" si="3"/>
        <v>0.000787037037</v>
      </c>
      <c r="O18" s="61">
        <f t="shared" si="4"/>
        <v>1.133333333</v>
      </c>
      <c r="Q18" s="48">
        <f t="shared" si="10"/>
        <v>16</v>
      </c>
      <c r="R18" s="58">
        <v>0.18263888888888888</v>
      </c>
      <c r="T18" s="48">
        <f t="shared" si="11"/>
        <v>16</v>
      </c>
      <c r="U18" s="58">
        <v>0.21180555555555555</v>
      </c>
      <c r="V18" s="58">
        <f t="shared" si="5"/>
        <v>0.02916666667</v>
      </c>
      <c r="W18" s="64">
        <f t="shared" si="6"/>
        <v>42</v>
      </c>
      <c r="X18" s="48">
        <f t="shared" si="12"/>
        <v>16</v>
      </c>
      <c r="Y18" s="65">
        <v>0.21388888888888888</v>
      </c>
      <c r="Z18" s="58">
        <f t="shared" si="7"/>
        <v>0.002083333333</v>
      </c>
      <c r="AA18" s="64">
        <f t="shared" si="8"/>
        <v>3</v>
      </c>
    </row>
    <row r="19">
      <c r="A19" s="48">
        <f t="shared" si="9"/>
        <v>17</v>
      </c>
      <c r="B19" s="58">
        <v>0.28402777777777777</v>
      </c>
      <c r="C19" s="58">
        <v>0.3423611111111111</v>
      </c>
      <c r="D19" s="59">
        <f t="shared" si="1"/>
        <v>0.05833333333</v>
      </c>
      <c r="E19" s="60">
        <f t="shared" si="2"/>
        <v>84</v>
      </c>
      <c r="K19" s="38">
        <v>17.0</v>
      </c>
      <c r="L19" s="67">
        <v>0.34715277777777775</v>
      </c>
      <c r="M19" s="67">
        <v>0.349837962962963</v>
      </c>
      <c r="N19" s="67">
        <f t="shared" si="3"/>
        <v>0.002685185185</v>
      </c>
      <c r="O19" s="61">
        <f t="shared" si="4"/>
        <v>3.866666667</v>
      </c>
      <c r="Q19" s="48">
        <f t="shared" si="10"/>
        <v>17</v>
      </c>
      <c r="R19" s="58">
        <v>0.17847222222222223</v>
      </c>
      <c r="T19" s="48">
        <f t="shared" si="11"/>
        <v>17</v>
      </c>
      <c r="U19" s="58">
        <v>0.21458333333333332</v>
      </c>
      <c r="V19" s="58">
        <f t="shared" si="5"/>
        <v>0.03611111111</v>
      </c>
      <c r="W19" s="64">
        <f t="shared" si="6"/>
        <v>52</v>
      </c>
      <c r="X19" s="48">
        <f t="shared" si="12"/>
        <v>17</v>
      </c>
      <c r="Y19" s="65">
        <v>0.2152777777777778</v>
      </c>
      <c r="Z19" s="58">
        <f t="shared" si="7"/>
        <v>0.0006944444444</v>
      </c>
      <c r="AA19" s="64">
        <f t="shared" si="8"/>
        <v>1</v>
      </c>
    </row>
    <row r="20">
      <c r="A20" s="48">
        <f t="shared" si="9"/>
        <v>18</v>
      </c>
      <c r="B20" s="58">
        <v>0.3333333333333333</v>
      </c>
      <c r="C20" s="58">
        <v>0.37777777777777777</v>
      </c>
      <c r="D20" s="59">
        <f t="shared" si="1"/>
        <v>0.04444444444</v>
      </c>
      <c r="E20" s="60">
        <f t="shared" si="2"/>
        <v>64</v>
      </c>
      <c r="K20" s="38">
        <v>18.0</v>
      </c>
      <c r="L20" s="67">
        <v>0.3590277777777778</v>
      </c>
      <c r="M20" s="67">
        <v>0.36018518518518516</v>
      </c>
      <c r="N20" s="67">
        <f t="shared" si="3"/>
        <v>0.001157407407</v>
      </c>
      <c r="O20" s="61">
        <f t="shared" si="4"/>
        <v>1.666666667</v>
      </c>
      <c r="Q20" s="48">
        <f t="shared" si="10"/>
        <v>18</v>
      </c>
      <c r="R20" s="58">
        <v>0.18958333333333333</v>
      </c>
      <c r="T20" s="48">
        <f t="shared" si="11"/>
        <v>18</v>
      </c>
      <c r="U20" s="58">
        <v>0.19166666666666668</v>
      </c>
      <c r="V20" s="58">
        <f t="shared" si="5"/>
        <v>0.002083333333</v>
      </c>
      <c r="W20" s="64">
        <f t="shared" si="6"/>
        <v>3</v>
      </c>
      <c r="X20" s="48">
        <f t="shared" si="12"/>
        <v>18</v>
      </c>
      <c r="Y20" s="65">
        <v>0.19375</v>
      </c>
      <c r="Z20" s="58">
        <f t="shared" si="7"/>
        <v>0.002083333333</v>
      </c>
      <c r="AA20" s="64">
        <f t="shared" si="8"/>
        <v>3</v>
      </c>
    </row>
    <row r="21">
      <c r="A21" s="48">
        <f t="shared" si="9"/>
        <v>19</v>
      </c>
      <c r="B21" s="58">
        <v>0.1527777777777778</v>
      </c>
      <c r="C21" s="58">
        <v>0.18125</v>
      </c>
      <c r="D21" s="59">
        <f t="shared" si="1"/>
        <v>0.02847222222</v>
      </c>
      <c r="E21" s="60">
        <f t="shared" si="2"/>
        <v>41</v>
      </c>
      <c r="K21" s="38">
        <v>19.0</v>
      </c>
      <c r="L21" s="67">
        <v>0.36725694444444446</v>
      </c>
      <c r="M21" s="67">
        <v>0.36875</v>
      </c>
      <c r="N21" s="67">
        <f t="shared" si="3"/>
        <v>0.001493055556</v>
      </c>
      <c r="O21" s="61">
        <f t="shared" si="4"/>
        <v>2.15</v>
      </c>
      <c r="Q21" s="48">
        <f t="shared" si="10"/>
        <v>19</v>
      </c>
      <c r="R21" s="58">
        <v>0.3923611111111111</v>
      </c>
      <c r="T21" s="48">
        <f t="shared" si="11"/>
        <v>19</v>
      </c>
      <c r="U21" s="58">
        <v>0.43333333333333335</v>
      </c>
      <c r="V21" s="58">
        <f t="shared" si="5"/>
        <v>0.04097222222</v>
      </c>
      <c r="W21" s="64">
        <f t="shared" si="6"/>
        <v>59</v>
      </c>
      <c r="X21" s="48">
        <f t="shared" si="12"/>
        <v>19</v>
      </c>
      <c r="Y21" s="65">
        <v>0.4361111111111111</v>
      </c>
      <c r="Z21" s="58">
        <f t="shared" si="7"/>
        <v>0.002777777778</v>
      </c>
      <c r="AA21" s="64">
        <f t="shared" si="8"/>
        <v>4</v>
      </c>
    </row>
    <row r="22">
      <c r="A22" s="48">
        <f t="shared" si="9"/>
        <v>20</v>
      </c>
      <c r="B22" s="58">
        <v>0.15347222222222223</v>
      </c>
      <c r="C22" s="58">
        <v>0.18125</v>
      </c>
      <c r="D22" s="59">
        <f t="shared" si="1"/>
        <v>0.02777777778</v>
      </c>
      <c r="E22" s="60">
        <f t="shared" si="2"/>
        <v>40</v>
      </c>
      <c r="K22" s="38">
        <v>20.0</v>
      </c>
      <c r="L22" s="67">
        <v>0.38863425925925926</v>
      </c>
      <c r="M22" s="67">
        <v>0.38939814814814816</v>
      </c>
      <c r="N22" s="67">
        <f t="shared" si="3"/>
        <v>0.0007638888889</v>
      </c>
      <c r="O22" s="61">
        <f t="shared" si="4"/>
        <v>1.1</v>
      </c>
      <c r="Q22" s="48">
        <f t="shared" si="10"/>
        <v>20</v>
      </c>
      <c r="R22" s="58">
        <v>0.18263888888888888</v>
      </c>
      <c r="T22" s="48">
        <f t="shared" si="11"/>
        <v>20</v>
      </c>
      <c r="U22" s="58">
        <v>0.19652777777777777</v>
      </c>
      <c r="V22" s="58">
        <f t="shared" si="5"/>
        <v>0.01388888889</v>
      </c>
      <c r="W22" s="64">
        <f t="shared" si="6"/>
        <v>20</v>
      </c>
      <c r="X22" s="48">
        <f t="shared" si="12"/>
        <v>20</v>
      </c>
      <c r="Y22" s="65">
        <v>0.19722222222222222</v>
      </c>
      <c r="Z22" s="58">
        <f t="shared" si="7"/>
        <v>0.0006944444444</v>
      </c>
      <c r="AA22" s="64">
        <f t="shared" si="8"/>
        <v>1</v>
      </c>
    </row>
    <row r="23">
      <c r="A23" s="48">
        <f t="shared" si="9"/>
        <v>21</v>
      </c>
      <c r="B23" s="58">
        <v>0.16666666666666666</v>
      </c>
      <c r="C23" s="58">
        <v>0.17847222222222223</v>
      </c>
      <c r="D23" s="59">
        <f t="shared" si="1"/>
        <v>0.01180555556</v>
      </c>
      <c r="E23" s="60">
        <f t="shared" si="2"/>
        <v>17</v>
      </c>
      <c r="K23" s="38">
        <v>21.0</v>
      </c>
      <c r="L23" s="67">
        <v>0.3955324074074074</v>
      </c>
      <c r="M23" s="67">
        <v>0.399837962962963</v>
      </c>
      <c r="N23" s="67">
        <f t="shared" si="3"/>
        <v>0.004305555556</v>
      </c>
      <c r="O23" s="61">
        <f t="shared" si="4"/>
        <v>6.2</v>
      </c>
      <c r="Q23" s="48">
        <f t="shared" si="10"/>
        <v>21</v>
      </c>
      <c r="R23" s="58">
        <v>0.18194444444444444</v>
      </c>
      <c r="T23" s="48">
        <f t="shared" si="11"/>
        <v>21</v>
      </c>
      <c r="U23" s="58">
        <v>0.21041666666666667</v>
      </c>
      <c r="V23" s="58">
        <f t="shared" si="5"/>
        <v>0.02847222222</v>
      </c>
      <c r="W23" s="64">
        <f t="shared" si="6"/>
        <v>41</v>
      </c>
      <c r="X23" s="48">
        <f t="shared" si="12"/>
        <v>21</v>
      </c>
      <c r="Y23" s="65">
        <v>0.21388888888888888</v>
      </c>
      <c r="Z23" s="58">
        <f t="shared" si="7"/>
        <v>0.003472222222</v>
      </c>
      <c r="AA23" s="64">
        <f t="shared" si="8"/>
        <v>5</v>
      </c>
    </row>
    <row r="24">
      <c r="A24" s="48">
        <f t="shared" si="9"/>
        <v>22</v>
      </c>
      <c r="B24" s="58">
        <v>0.16666666666666666</v>
      </c>
      <c r="C24" s="58">
        <v>0.18263888888888888</v>
      </c>
      <c r="D24" s="59">
        <f t="shared" si="1"/>
        <v>0.01597222222</v>
      </c>
      <c r="E24" s="60">
        <f t="shared" si="2"/>
        <v>23</v>
      </c>
      <c r="K24" s="38">
        <v>22.0</v>
      </c>
      <c r="L24" s="67">
        <v>0.40673611111111113</v>
      </c>
      <c r="M24" s="67">
        <v>0.4141898148148148</v>
      </c>
      <c r="N24" s="67">
        <f t="shared" si="3"/>
        <v>0.007453703704</v>
      </c>
      <c r="O24" s="61">
        <f t="shared" si="4"/>
        <v>10.73333333</v>
      </c>
      <c r="Q24" s="48">
        <f t="shared" si="10"/>
        <v>22</v>
      </c>
      <c r="R24" s="58">
        <v>0.17847222222222223</v>
      </c>
      <c r="T24" s="48">
        <f t="shared" si="11"/>
        <v>22</v>
      </c>
      <c r="U24" s="58">
        <v>0.2152777777777778</v>
      </c>
      <c r="V24" s="58">
        <f t="shared" si="5"/>
        <v>0.03680555556</v>
      </c>
      <c r="W24" s="64">
        <f t="shared" si="6"/>
        <v>53</v>
      </c>
      <c r="X24" s="48">
        <f t="shared" si="12"/>
        <v>22</v>
      </c>
      <c r="Y24" s="65">
        <v>0.2152777777777778</v>
      </c>
      <c r="Z24" s="58">
        <f t="shared" si="7"/>
        <v>0</v>
      </c>
      <c r="AA24" s="64">
        <f t="shared" si="8"/>
        <v>0</v>
      </c>
    </row>
    <row r="25">
      <c r="A25" s="48">
        <f t="shared" si="9"/>
        <v>23</v>
      </c>
      <c r="B25" s="58">
        <v>0.16319444444444445</v>
      </c>
      <c r="C25" s="58">
        <v>0.18125</v>
      </c>
      <c r="D25" s="59">
        <f t="shared" si="1"/>
        <v>0.01805555556</v>
      </c>
      <c r="E25" s="60">
        <f t="shared" si="2"/>
        <v>26</v>
      </c>
      <c r="K25" s="38">
        <v>23.0</v>
      </c>
      <c r="L25" s="67">
        <v>0.4204861111111111</v>
      </c>
      <c r="M25" s="67">
        <v>0.4215277777777778</v>
      </c>
      <c r="N25" s="67">
        <f t="shared" si="3"/>
        <v>0.001041666667</v>
      </c>
      <c r="O25" s="61">
        <f t="shared" si="4"/>
        <v>1.5</v>
      </c>
      <c r="Q25" s="48">
        <f t="shared" si="10"/>
        <v>23</v>
      </c>
      <c r="R25" s="58">
        <v>0.3423611111111111</v>
      </c>
      <c r="T25" s="48">
        <f t="shared" si="11"/>
        <v>23</v>
      </c>
      <c r="U25" s="58">
        <v>0.3736111111111111</v>
      </c>
      <c r="V25" s="58">
        <f t="shared" si="5"/>
        <v>0.03125</v>
      </c>
      <c r="W25" s="64">
        <f t="shared" si="6"/>
        <v>45</v>
      </c>
      <c r="X25" s="48">
        <f t="shared" si="12"/>
        <v>23</v>
      </c>
      <c r="Y25" s="65">
        <v>0.37569444444444444</v>
      </c>
      <c r="Z25" s="58">
        <f t="shared" si="7"/>
        <v>0.002083333333</v>
      </c>
      <c r="AA25" s="64">
        <f t="shared" si="8"/>
        <v>3</v>
      </c>
    </row>
    <row r="26">
      <c r="A26" s="48">
        <f t="shared" si="9"/>
        <v>24</v>
      </c>
      <c r="B26" s="58">
        <v>0.1388888888888889</v>
      </c>
      <c r="C26" s="58">
        <v>0.18055555555555555</v>
      </c>
      <c r="D26" s="59">
        <f t="shared" si="1"/>
        <v>0.04166666667</v>
      </c>
      <c r="E26" s="60">
        <f t="shared" si="2"/>
        <v>60</v>
      </c>
      <c r="K26" s="38">
        <v>24.0</v>
      </c>
      <c r="L26" s="67">
        <v>0.43724537037037037</v>
      </c>
      <c r="M26" s="67">
        <v>0.4392361111111111</v>
      </c>
      <c r="N26" s="67">
        <f t="shared" si="3"/>
        <v>0.001990740741</v>
      </c>
      <c r="O26" s="61">
        <f t="shared" si="4"/>
        <v>2.866666667</v>
      </c>
      <c r="Q26" s="48">
        <f t="shared" si="10"/>
        <v>24</v>
      </c>
      <c r="R26" s="58">
        <v>0.34305555555555556</v>
      </c>
      <c r="T26" s="48">
        <f t="shared" si="11"/>
        <v>24</v>
      </c>
      <c r="U26" s="58">
        <v>0.35138888888888886</v>
      </c>
      <c r="V26" s="58">
        <f t="shared" si="5"/>
        <v>0.008333333333</v>
      </c>
      <c r="W26" s="64">
        <f t="shared" si="6"/>
        <v>12</v>
      </c>
      <c r="X26" s="48">
        <f t="shared" si="12"/>
        <v>24</v>
      </c>
      <c r="Y26" s="65">
        <v>0.36875</v>
      </c>
      <c r="Z26" s="58">
        <f t="shared" si="7"/>
        <v>0.01736111111</v>
      </c>
      <c r="AA26" s="64">
        <f t="shared" si="8"/>
        <v>25</v>
      </c>
    </row>
    <row r="27">
      <c r="A27" s="48">
        <f t="shared" si="9"/>
        <v>25</v>
      </c>
      <c r="B27" s="58">
        <v>0.38472222222222224</v>
      </c>
      <c r="C27" s="58">
        <v>0.3923611111111111</v>
      </c>
      <c r="D27" s="59">
        <f t="shared" si="1"/>
        <v>0.007638888889</v>
      </c>
      <c r="E27" s="60">
        <f t="shared" si="2"/>
        <v>11</v>
      </c>
      <c r="M27" s="38" t="s">
        <v>49</v>
      </c>
      <c r="Q27" s="48">
        <f t="shared" si="10"/>
        <v>25</v>
      </c>
      <c r="R27" s="58">
        <v>0.37777777777777777</v>
      </c>
      <c r="T27" s="48">
        <f t="shared" si="11"/>
        <v>25</v>
      </c>
      <c r="U27" s="58">
        <v>0.42986111111111114</v>
      </c>
      <c r="V27" s="58">
        <f t="shared" si="5"/>
        <v>0.05208333333</v>
      </c>
      <c r="W27" s="64">
        <f t="shared" si="6"/>
        <v>75</v>
      </c>
      <c r="X27" s="48">
        <f t="shared" si="12"/>
        <v>25</v>
      </c>
      <c r="Y27" s="65">
        <v>0.43125</v>
      </c>
      <c r="Z27" s="58">
        <f t="shared" si="7"/>
        <v>0.001388888889</v>
      </c>
      <c r="AA27" s="64">
        <f t="shared" si="8"/>
        <v>2</v>
      </c>
    </row>
    <row r="28">
      <c r="A28" s="48">
        <f t="shared" si="9"/>
        <v>26</v>
      </c>
      <c r="B28" s="58">
        <v>0.6472222222222223</v>
      </c>
      <c r="C28" s="58">
        <v>0.6618055555555555</v>
      </c>
      <c r="D28" s="59">
        <f t="shared" si="1"/>
        <v>0.01458333333</v>
      </c>
      <c r="E28" s="60">
        <f t="shared" si="2"/>
        <v>21</v>
      </c>
      <c r="Q28" s="48">
        <f t="shared" si="10"/>
        <v>26</v>
      </c>
      <c r="R28" s="58">
        <v>0.37777777777777777</v>
      </c>
      <c r="T28" s="48">
        <f t="shared" si="11"/>
        <v>26</v>
      </c>
      <c r="U28" s="58">
        <v>0.38680555555555557</v>
      </c>
      <c r="V28" s="58">
        <f t="shared" si="5"/>
        <v>0.009027777778</v>
      </c>
      <c r="W28" s="64">
        <f t="shared" si="6"/>
        <v>13</v>
      </c>
      <c r="X28" s="48">
        <f t="shared" si="12"/>
        <v>26</v>
      </c>
      <c r="Y28" s="65">
        <v>0.4013888888888889</v>
      </c>
      <c r="Z28" s="58">
        <f t="shared" si="7"/>
        <v>0.01458333333</v>
      </c>
      <c r="AA28" s="64">
        <f t="shared" si="8"/>
        <v>21</v>
      </c>
    </row>
    <row r="29">
      <c r="A29" s="48">
        <f t="shared" si="9"/>
        <v>27</v>
      </c>
      <c r="B29" s="58">
        <v>0.6472222222222223</v>
      </c>
      <c r="C29" s="58">
        <v>0.6611111111111111</v>
      </c>
      <c r="D29" s="59">
        <f t="shared" si="1"/>
        <v>0.01388888889</v>
      </c>
      <c r="E29" s="60">
        <f t="shared" si="2"/>
        <v>20</v>
      </c>
      <c r="K29" s="65">
        <v>0.8722222222222222</v>
      </c>
      <c r="L29" s="65">
        <v>0.4618055555555556</v>
      </c>
      <c r="M29" s="61">
        <f t="shared" ref="M29:M30" si="13">K29-L29</f>
        <v>0.4104166667</v>
      </c>
      <c r="Q29" s="48">
        <f t="shared" si="10"/>
        <v>27</v>
      </c>
      <c r="R29" s="58">
        <v>0.3423611111111111</v>
      </c>
      <c r="T29" s="48">
        <f t="shared" si="11"/>
        <v>27</v>
      </c>
      <c r="U29" s="58">
        <v>0.3736111111111111</v>
      </c>
      <c r="V29" s="58">
        <f t="shared" si="5"/>
        <v>0.03125</v>
      </c>
      <c r="W29" s="64">
        <f t="shared" si="6"/>
        <v>45</v>
      </c>
      <c r="X29" s="48">
        <f t="shared" si="12"/>
        <v>27</v>
      </c>
      <c r="Y29" s="65">
        <v>0.37569444444444444</v>
      </c>
      <c r="Z29" s="58">
        <f t="shared" si="7"/>
        <v>0.002083333333</v>
      </c>
      <c r="AA29" s="64">
        <f t="shared" si="8"/>
        <v>3</v>
      </c>
    </row>
    <row r="30">
      <c r="A30" s="48">
        <f t="shared" si="9"/>
        <v>28</v>
      </c>
      <c r="B30" s="58">
        <v>0.3125</v>
      </c>
      <c r="C30" s="58">
        <v>0.37777777777777777</v>
      </c>
      <c r="D30" s="59">
        <f t="shared" si="1"/>
        <v>0.06527777778</v>
      </c>
      <c r="E30" s="60">
        <f t="shared" si="2"/>
        <v>94</v>
      </c>
      <c r="K30" s="68">
        <v>1.0888888888888888</v>
      </c>
      <c r="L30" s="65">
        <v>0.70625</v>
      </c>
      <c r="M30" s="61">
        <f t="shared" si="13"/>
        <v>0.3826388889</v>
      </c>
      <c r="Q30" s="48">
        <f t="shared" si="10"/>
        <v>28</v>
      </c>
      <c r="R30" s="58">
        <v>0.37777777777777777</v>
      </c>
      <c r="T30" s="48">
        <f t="shared" si="11"/>
        <v>28</v>
      </c>
      <c r="U30" s="58">
        <v>0.4013888888888889</v>
      </c>
      <c r="V30" s="58">
        <f t="shared" si="5"/>
        <v>0.02361111111</v>
      </c>
      <c r="W30" s="64">
        <f t="shared" si="6"/>
        <v>34</v>
      </c>
      <c r="X30" s="48">
        <f t="shared" si="12"/>
        <v>28</v>
      </c>
      <c r="Y30" s="65">
        <v>0.4041666666666667</v>
      </c>
      <c r="Z30" s="58">
        <f t="shared" si="7"/>
        <v>0.002777777778</v>
      </c>
      <c r="AA30" s="64">
        <f t="shared" si="8"/>
        <v>4</v>
      </c>
    </row>
    <row r="31">
      <c r="A31" s="48">
        <f t="shared" si="9"/>
        <v>29</v>
      </c>
      <c r="B31" s="58">
        <v>0.6319444444444444</v>
      </c>
      <c r="C31" s="58">
        <v>0.6708333333333333</v>
      </c>
      <c r="D31" s="59">
        <f t="shared" si="1"/>
        <v>0.03888888889</v>
      </c>
      <c r="E31" s="60">
        <f t="shared" si="2"/>
        <v>56</v>
      </c>
      <c r="Q31" s="48">
        <f t="shared" si="10"/>
        <v>29</v>
      </c>
      <c r="R31" s="58">
        <v>0.3770833333333333</v>
      </c>
      <c r="T31" s="48">
        <f t="shared" si="11"/>
        <v>29</v>
      </c>
      <c r="U31" s="58">
        <v>0.4215277777777778</v>
      </c>
      <c r="V31" s="58">
        <f t="shared" si="5"/>
        <v>0.04444444444</v>
      </c>
      <c r="W31" s="64">
        <f t="shared" si="6"/>
        <v>64</v>
      </c>
      <c r="X31" s="48">
        <f t="shared" si="12"/>
        <v>29</v>
      </c>
      <c r="Y31" s="65">
        <v>0.43125</v>
      </c>
      <c r="Z31" s="58">
        <f t="shared" si="7"/>
        <v>0.009722222222</v>
      </c>
      <c r="AA31" s="64">
        <f t="shared" si="8"/>
        <v>14</v>
      </c>
    </row>
    <row r="32">
      <c r="A32" s="48">
        <f t="shared" si="9"/>
        <v>30</v>
      </c>
      <c r="B32" s="58">
        <v>0.15833333333333333</v>
      </c>
      <c r="C32" s="58">
        <v>0.18125</v>
      </c>
      <c r="D32" s="59">
        <f t="shared" si="1"/>
        <v>0.02291666667</v>
      </c>
      <c r="E32" s="60">
        <f t="shared" si="2"/>
        <v>33</v>
      </c>
      <c r="Q32" s="48">
        <f t="shared" si="10"/>
        <v>30</v>
      </c>
      <c r="R32" s="58">
        <v>0.3770833333333333</v>
      </c>
      <c r="T32" s="48">
        <f t="shared" si="11"/>
        <v>30</v>
      </c>
      <c r="U32" s="58">
        <v>0.4930555555555556</v>
      </c>
      <c r="V32" s="58">
        <f t="shared" si="5"/>
        <v>0.1159722222</v>
      </c>
      <c r="W32" s="64">
        <f t="shared" si="6"/>
        <v>167</v>
      </c>
      <c r="X32" s="48">
        <f t="shared" si="12"/>
        <v>30</v>
      </c>
      <c r="Y32" s="65">
        <v>0.49583333333333335</v>
      </c>
      <c r="Z32" s="58">
        <f t="shared" si="7"/>
        <v>0.002777777778</v>
      </c>
      <c r="AA32" s="64">
        <f t="shared" si="8"/>
        <v>4</v>
      </c>
    </row>
    <row r="33">
      <c r="A33" s="48">
        <f t="shared" si="9"/>
        <v>31</v>
      </c>
      <c r="B33" s="58">
        <v>0.38472222222222224</v>
      </c>
      <c r="C33" s="58">
        <v>0.3923611111111111</v>
      </c>
      <c r="D33" s="59">
        <f t="shared" si="1"/>
        <v>0.007638888889</v>
      </c>
      <c r="E33" s="60">
        <f t="shared" si="2"/>
        <v>11</v>
      </c>
      <c r="Q33" s="48">
        <f t="shared" si="10"/>
        <v>31</v>
      </c>
      <c r="R33" s="58">
        <v>0.3770833333333333</v>
      </c>
      <c r="T33" s="48">
        <f t="shared" si="11"/>
        <v>31</v>
      </c>
      <c r="U33" s="58">
        <v>0.4326388888888889</v>
      </c>
      <c r="V33" s="58">
        <f t="shared" si="5"/>
        <v>0.05555555556</v>
      </c>
      <c r="W33" s="64">
        <f t="shared" si="6"/>
        <v>80</v>
      </c>
      <c r="X33" s="48">
        <f t="shared" si="12"/>
        <v>31</v>
      </c>
      <c r="Y33" s="65">
        <v>0.4361111111111111</v>
      </c>
      <c r="Z33" s="58">
        <f t="shared" si="7"/>
        <v>0.003472222222</v>
      </c>
      <c r="AA33" s="64">
        <f t="shared" si="8"/>
        <v>5</v>
      </c>
    </row>
    <row r="34">
      <c r="A34" s="48">
        <f t="shared" si="9"/>
        <v>32</v>
      </c>
      <c r="B34" s="58">
        <v>0.20833333333333334</v>
      </c>
      <c r="C34" s="58">
        <v>0.22013888888888888</v>
      </c>
      <c r="D34" s="59">
        <f t="shared" si="1"/>
        <v>0.01180555556</v>
      </c>
      <c r="E34" s="60">
        <f t="shared" si="2"/>
        <v>17</v>
      </c>
      <c r="Q34" s="48">
        <f t="shared" si="10"/>
        <v>32</v>
      </c>
      <c r="R34" s="58">
        <v>0.18194444444444444</v>
      </c>
      <c r="T34" s="48">
        <f t="shared" si="11"/>
        <v>32</v>
      </c>
      <c r="U34" s="58">
        <v>0.1951388888888889</v>
      </c>
      <c r="V34" s="58">
        <f t="shared" si="5"/>
        <v>0.01319444444</v>
      </c>
      <c r="W34" s="64">
        <f t="shared" si="6"/>
        <v>19</v>
      </c>
      <c r="X34" s="48">
        <f t="shared" si="12"/>
        <v>32</v>
      </c>
      <c r="Y34" s="65">
        <v>0.19722222222222222</v>
      </c>
      <c r="Z34" s="58">
        <f t="shared" si="7"/>
        <v>0.002083333333</v>
      </c>
      <c r="AA34" s="64">
        <f t="shared" si="8"/>
        <v>3</v>
      </c>
    </row>
    <row r="35">
      <c r="A35" s="48">
        <f t="shared" si="9"/>
        <v>33</v>
      </c>
      <c r="B35" s="58">
        <v>0.2972222222222222</v>
      </c>
      <c r="C35" s="58">
        <v>0.34375</v>
      </c>
      <c r="D35" s="59">
        <f t="shared" si="1"/>
        <v>0.04652777778</v>
      </c>
      <c r="E35" s="60">
        <f t="shared" si="2"/>
        <v>67</v>
      </c>
      <c r="Q35" s="48">
        <f t="shared" si="10"/>
        <v>33</v>
      </c>
      <c r="R35" s="58">
        <v>0.17847222222222223</v>
      </c>
      <c r="T35" s="48">
        <f t="shared" si="11"/>
        <v>33</v>
      </c>
      <c r="U35" s="58">
        <v>0.22083333333333333</v>
      </c>
      <c r="V35" s="58">
        <f t="shared" si="5"/>
        <v>0.04236111111</v>
      </c>
      <c r="W35" s="64">
        <f t="shared" si="6"/>
        <v>61</v>
      </c>
      <c r="X35" s="48">
        <f t="shared" si="12"/>
        <v>33</v>
      </c>
      <c r="Y35" s="65">
        <v>0.22430555555555556</v>
      </c>
      <c r="Z35" s="58">
        <f t="shared" si="7"/>
        <v>0.003472222222</v>
      </c>
      <c r="AA35" s="64">
        <f t="shared" si="8"/>
        <v>5</v>
      </c>
    </row>
    <row r="36">
      <c r="A36" s="48">
        <f t="shared" si="9"/>
        <v>34</v>
      </c>
      <c r="B36" s="58">
        <v>0.41041666666666665</v>
      </c>
      <c r="C36" s="58">
        <v>0.4125</v>
      </c>
      <c r="D36" s="59">
        <f t="shared" si="1"/>
        <v>0.002083333333</v>
      </c>
      <c r="E36" s="60">
        <f t="shared" si="2"/>
        <v>3</v>
      </c>
      <c r="Q36" s="48">
        <f t="shared" si="10"/>
        <v>34</v>
      </c>
      <c r="R36" s="58">
        <v>0.18263888888888888</v>
      </c>
      <c r="T36" s="48">
        <f t="shared" si="11"/>
        <v>34</v>
      </c>
      <c r="U36" s="58">
        <v>0.2125</v>
      </c>
      <c r="V36" s="58">
        <f t="shared" si="5"/>
        <v>0.02986111111</v>
      </c>
      <c r="W36" s="64">
        <f t="shared" si="6"/>
        <v>43</v>
      </c>
      <c r="X36" s="48">
        <f t="shared" si="12"/>
        <v>34</v>
      </c>
      <c r="Y36" s="65">
        <v>0.21388888888888888</v>
      </c>
      <c r="Z36" s="58">
        <f t="shared" si="7"/>
        <v>0.001388888889</v>
      </c>
      <c r="AA36" s="64">
        <f t="shared" si="8"/>
        <v>2</v>
      </c>
    </row>
    <row r="37">
      <c r="A37" s="48">
        <f t="shared" si="9"/>
        <v>35</v>
      </c>
      <c r="B37" s="58">
        <v>0.3159722222222222</v>
      </c>
      <c r="C37" s="58">
        <v>0.37777777777777777</v>
      </c>
      <c r="D37" s="59">
        <f t="shared" si="1"/>
        <v>0.06180555556</v>
      </c>
      <c r="E37" s="60">
        <f t="shared" si="2"/>
        <v>89</v>
      </c>
      <c r="Q37" s="48">
        <f t="shared" si="10"/>
        <v>35</v>
      </c>
      <c r="R37" s="58">
        <v>0.18263888888888888</v>
      </c>
      <c r="T37" s="48">
        <f t="shared" si="11"/>
        <v>35</v>
      </c>
      <c r="U37" s="58">
        <v>0.20902777777777778</v>
      </c>
      <c r="V37" s="58">
        <f t="shared" si="5"/>
        <v>0.02638888889</v>
      </c>
      <c r="W37" s="64">
        <f t="shared" si="6"/>
        <v>38</v>
      </c>
      <c r="X37" s="48">
        <f t="shared" si="12"/>
        <v>35</v>
      </c>
      <c r="Y37" s="65">
        <v>0.20902777777777778</v>
      </c>
      <c r="Z37" s="58">
        <f t="shared" si="7"/>
        <v>0</v>
      </c>
      <c r="AA37" s="64">
        <f t="shared" si="8"/>
        <v>0</v>
      </c>
    </row>
    <row r="38">
      <c r="B38" s="58"/>
      <c r="C38" s="65"/>
      <c r="E38" s="60">
        <f>median(E3:E37)</f>
        <v>26</v>
      </c>
    </row>
    <row r="39">
      <c r="E39" s="48">
        <f>sum(E3:E37)/35</f>
        <v>38.28571429</v>
      </c>
    </row>
    <row r="41">
      <c r="V41" s="69"/>
      <c r="W41" s="63"/>
    </row>
  </sheetData>
  <mergeCells count="4">
    <mergeCell ref="A1:B1"/>
    <mergeCell ref="D1:E1"/>
    <mergeCell ref="K1:O1"/>
    <mergeCell ref="H2:I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5.13"/>
    <col customWidth="1" min="3" max="3" width="14.25"/>
    <col customWidth="1" min="4" max="5" width="8.63"/>
    <col customWidth="1" min="6" max="6" width="12.5"/>
    <col customWidth="1" min="7" max="7" width="12.0"/>
    <col customWidth="1" min="8" max="8" width="15.0"/>
    <col customWidth="1" min="9" max="9" width="18.63"/>
    <col customWidth="1" min="10" max="10" width="16.88"/>
    <col customWidth="1" min="11" max="11" width="13.88"/>
    <col customWidth="1" min="12" max="28" width="8.63"/>
  </cols>
  <sheetData>
    <row r="1">
      <c r="A1" s="48" t="s">
        <v>50</v>
      </c>
      <c r="B1" s="48" t="s">
        <v>51</v>
      </c>
      <c r="C1" s="48" t="s">
        <v>52</v>
      </c>
      <c r="E1" s="70" t="s">
        <v>53</v>
      </c>
      <c r="F1" s="71" t="s">
        <v>54</v>
      </c>
      <c r="G1" s="71" t="s">
        <v>55</v>
      </c>
      <c r="H1" s="71" t="s">
        <v>56</v>
      </c>
      <c r="I1" s="72" t="s">
        <v>57</v>
      </c>
      <c r="J1" s="38" t="s">
        <v>58</v>
      </c>
      <c r="K1" s="48" t="s">
        <v>59</v>
      </c>
    </row>
    <row r="2">
      <c r="A2" s="73">
        <v>0.3695023148148148</v>
      </c>
      <c r="B2" s="74" t="s">
        <v>60</v>
      </c>
      <c r="C2" s="48">
        <v>12.0</v>
      </c>
      <c r="E2" s="43">
        <v>1.0</v>
      </c>
      <c r="F2" s="38">
        <v>12.0</v>
      </c>
      <c r="G2" s="75">
        <f>A5-A2</f>
        <v>0.002708333333</v>
      </c>
      <c r="H2" s="63">
        <f t="shared" ref="H2:H11" si="1">G2*1440</f>
        <v>3.9</v>
      </c>
      <c r="I2" s="45">
        <f t="shared" ref="I2:I10" si="2">H2/F2</f>
        <v>0.325</v>
      </c>
      <c r="J2" s="66">
        <f>MEDIAN(I2:I5,I7:I8,I10)</f>
        <v>0.3333333333</v>
      </c>
    </row>
    <row r="3">
      <c r="A3" s="73">
        <v>0.37179398148148146</v>
      </c>
      <c r="B3" s="48" t="s">
        <v>61</v>
      </c>
      <c r="E3" s="43">
        <v>2.0</v>
      </c>
      <c r="F3" s="38">
        <v>8.0</v>
      </c>
      <c r="G3" s="75">
        <f>A7-A6</f>
        <v>0.001990740741</v>
      </c>
      <c r="H3" s="63">
        <f t="shared" si="1"/>
        <v>2.866666667</v>
      </c>
      <c r="I3" s="45">
        <f t="shared" si="2"/>
        <v>0.3583333333</v>
      </c>
    </row>
    <row r="4">
      <c r="A4" s="73">
        <v>0.37194444444444447</v>
      </c>
      <c r="B4" s="48" t="s">
        <v>62</v>
      </c>
      <c r="E4" s="43">
        <v>3.0</v>
      </c>
      <c r="F4" s="38">
        <v>35.0</v>
      </c>
      <c r="G4" s="75">
        <f>A10-A9</f>
        <v>0.003831018519</v>
      </c>
      <c r="H4" s="63">
        <f t="shared" si="1"/>
        <v>5.516666667</v>
      </c>
      <c r="I4" s="45">
        <f t="shared" si="2"/>
        <v>0.1576190476</v>
      </c>
    </row>
    <row r="5">
      <c r="A5" s="73">
        <v>0.37221064814814814</v>
      </c>
      <c r="B5" s="76" t="s">
        <v>63</v>
      </c>
      <c r="E5" s="43">
        <v>4.0</v>
      </c>
      <c r="F5" s="38">
        <v>8.0</v>
      </c>
      <c r="G5" s="75">
        <f>A14-A13</f>
        <v>0.001851851852</v>
      </c>
      <c r="H5" s="63">
        <f t="shared" si="1"/>
        <v>2.666666667</v>
      </c>
      <c r="I5" s="45">
        <f t="shared" si="2"/>
        <v>0.3333333333</v>
      </c>
    </row>
    <row r="6">
      <c r="A6" s="73">
        <v>0.3746643518518519</v>
      </c>
      <c r="B6" s="74" t="s">
        <v>60</v>
      </c>
      <c r="E6" s="43">
        <v>5.0</v>
      </c>
      <c r="F6" s="77">
        <f>ROUND(H6/J2,0)</f>
        <v>25</v>
      </c>
      <c r="G6" s="75">
        <f>A16-A15</f>
        <v>0.005775462963</v>
      </c>
      <c r="H6" s="63">
        <f t="shared" si="1"/>
        <v>8.316666667</v>
      </c>
      <c r="I6" s="45">
        <f t="shared" si="2"/>
        <v>0.3326666667</v>
      </c>
    </row>
    <row r="7">
      <c r="A7" s="73">
        <v>0.3766550925925926</v>
      </c>
      <c r="B7" s="76" t="s">
        <v>64</v>
      </c>
      <c r="C7" s="48">
        <v>8.0</v>
      </c>
      <c r="E7" s="43">
        <v>6.0</v>
      </c>
      <c r="F7" s="38">
        <v>12.0</v>
      </c>
      <c r="G7" s="75">
        <f>A18-A17</f>
        <v>0.001759259259</v>
      </c>
      <c r="H7" s="63">
        <f t="shared" si="1"/>
        <v>2.533333333</v>
      </c>
      <c r="I7" s="45">
        <f t="shared" si="2"/>
        <v>0.2111111111</v>
      </c>
    </row>
    <row r="8">
      <c r="A8" s="73">
        <v>0.38005787037037037</v>
      </c>
      <c r="B8" s="78" t="s">
        <v>65</v>
      </c>
      <c r="C8" s="48">
        <v>35.0</v>
      </c>
      <c r="E8" s="43">
        <v>7.0</v>
      </c>
      <c r="F8" s="38">
        <v>3.0</v>
      </c>
      <c r="G8" s="75">
        <f>A21-A20</f>
        <v>0.001215277778</v>
      </c>
      <c r="H8" s="63">
        <f t="shared" si="1"/>
        <v>1.75</v>
      </c>
      <c r="I8" s="45">
        <f t="shared" si="2"/>
        <v>0.5833333333</v>
      </c>
    </row>
    <row r="9">
      <c r="A9" s="73">
        <v>0.3824884259259259</v>
      </c>
      <c r="B9" s="74" t="s">
        <v>66</v>
      </c>
      <c r="C9" s="48">
        <v>35.0</v>
      </c>
      <c r="E9" s="43">
        <v>8.0</v>
      </c>
      <c r="F9" s="76">
        <f>ROUND(H9/J2,0)</f>
        <v>6</v>
      </c>
      <c r="G9" s="75">
        <f>A24-A23</f>
        <v>0.001469907407</v>
      </c>
      <c r="H9" s="63">
        <f t="shared" si="1"/>
        <v>2.116666667</v>
      </c>
      <c r="I9" s="45">
        <f t="shared" si="2"/>
        <v>0.3527777778</v>
      </c>
    </row>
    <row r="10">
      <c r="A10" s="73">
        <v>0.38631944444444444</v>
      </c>
      <c r="B10" s="76" t="s">
        <v>67</v>
      </c>
      <c r="C10" s="48">
        <v>35.0</v>
      </c>
      <c r="E10" s="51">
        <v>9.0</v>
      </c>
      <c r="F10" s="79">
        <v>2.0</v>
      </c>
      <c r="G10" s="80">
        <f>A26-A25</f>
        <v>0.0005902777778</v>
      </c>
      <c r="H10" s="63">
        <f t="shared" si="1"/>
        <v>0.85</v>
      </c>
      <c r="I10" s="52">
        <f t="shared" si="2"/>
        <v>0.425</v>
      </c>
    </row>
    <row r="11">
      <c r="A11" s="73">
        <v>0.3864814814814815</v>
      </c>
      <c r="B11" s="48" t="s">
        <v>68</v>
      </c>
      <c r="C11" s="48">
        <v>35.0</v>
      </c>
      <c r="E11" s="38">
        <v>10.0</v>
      </c>
      <c r="F11" s="38">
        <v>1.0</v>
      </c>
      <c r="G11" s="81">
        <f>A28-A27</f>
        <v>0.0008680555556</v>
      </c>
      <c r="H11" s="63">
        <f t="shared" si="1"/>
        <v>1.25</v>
      </c>
      <c r="I11" s="52"/>
    </row>
    <row r="12">
      <c r="A12" s="73">
        <v>0.3917824074074074</v>
      </c>
      <c r="B12" s="48" t="s">
        <v>69</v>
      </c>
      <c r="H12" s="38" t="s">
        <v>70</v>
      </c>
      <c r="I12" s="38" t="s">
        <v>71</v>
      </c>
      <c r="J12" s="38" t="s">
        <v>72</v>
      </c>
      <c r="K12" s="82" t="s">
        <v>73</v>
      </c>
      <c r="L12" s="38" t="s">
        <v>74</v>
      </c>
      <c r="M12" s="38" t="s">
        <v>75</v>
      </c>
      <c r="N12" s="38" t="s">
        <v>76</v>
      </c>
    </row>
    <row r="13">
      <c r="A13" s="73">
        <v>0.39872685185185186</v>
      </c>
      <c r="B13" s="74" t="s">
        <v>77</v>
      </c>
      <c r="C13" s="48">
        <v>8.0</v>
      </c>
      <c r="H13" s="38" t="s">
        <v>70</v>
      </c>
      <c r="I13" s="38" t="s">
        <v>71</v>
      </c>
      <c r="J13" s="38" t="s">
        <v>72</v>
      </c>
      <c r="K13" s="82" t="s">
        <v>73</v>
      </c>
      <c r="L13" s="38" t="s">
        <v>74</v>
      </c>
      <c r="M13" s="38" t="s">
        <v>75</v>
      </c>
      <c r="N13" s="38" t="s">
        <v>76</v>
      </c>
    </row>
    <row r="14">
      <c r="A14" s="73">
        <v>0.4005787037037037</v>
      </c>
      <c r="B14" s="76" t="s">
        <v>67</v>
      </c>
      <c r="C14" s="48">
        <v>8.0</v>
      </c>
      <c r="H14" s="38" t="s">
        <v>70</v>
      </c>
      <c r="I14" s="38" t="s">
        <v>71</v>
      </c>
      <c r="J14" s="38" t="s">
        <v>72</v>
      </c>
      <c r="K14" s="82" t="s">
        <v>73</v>
      </c>
      <c r="L14" s="38" t="s">
        <v>74</v>
      </c>
      <c r="M14" s="38" t="s">
        <v>75</v>
      </c>
    </row>
    <row r="15">
      <c r="A15" s="73">
        <v>0.40370370370370373</v>
      </c>
      <c r="B15" s="74" t="s">
        <v>77</v>
      </c>
      <c r="C15" s="48" t="s">
        <v>78</v>
      </c>
      <c r="H15" s="38" t="s">
        <v>70</v>
      </c>
      <c r="I15" s="38" t="s">
        <v>71</v>
      </c>
      <c r="J15" s="38" t="s">
        <v>72</v>
      </c>
      <c r="K15" s="82" t="s">
        <v>73</v>
      </c>
      <c r="L15" s="38" t="s">
        <v>74</v>
      </c>
    </row>
    <row r="16">
      <c r="A16" s="73">
        <v>0.40947916666666667</v>
      </c>
      <c r="B16" s="76" t="s">
        <v>79</v>
      </c>
      <c r="C16" s="48" t="s">
        <v>78</v>
      </c>
      <c r="H16" s="38" t="s">
        <v>70</v>
      </c>
      <c r="I16" s="38" t="s">
        <v>71</v>
      </c>
      <c r="J16" s="38" t="s">
        <v>72</v>
      </c>
      <c r="K16" s="82" t="s">
        <v>73</v>
      </c>
      <c r="L16" s="38" t="s">
        <v>74</v>
      </c>
    </row>
    <row r="17">
      <c r="A17" s="73">
        <v>0.4131828703703704</v>
      </c>
      <c r="B17" s="74" t="s">
        <v>60</v>
      </c>
      <c r="C17" s="48">
        <v>12.0</v>
      </c>
      <c r="H17" s="38" t="s">
        <v>70</v>
      </c>
      <c r="I17" s="38" t="s">
        <v>71</v>
      </c>
      <c r="J17" s="38" t="s">
        <v>72</v>
      </c>
      <c r="K17" s="82" t="s">
        <v>73</v>
      </c>
      <c r="L17" s="38" t="s">
        <v>74</v>
      </c>
    </row>
    <row r="18">
      <c r="A18" s="73">
        <v>0.4149421296296296</v>
      </c>
      <c r="B18" s="76" t="s">
        <v>67</v>
      </c>
      <c r="C18" s="48">
        <v>12.0</v>
      </c>
      <c r="H18" s="38" t="s">
        <v>70</v>
      </c>
      <c r="I18" s="38" t="s">
        <v>71</v>
      </c>
      <c r="J18" s="38" t="s">
        <v>72</v>
      </c>
      <c r="K18" s="82" t="s">
        <v>73</v>
      </c>
      <c r="L18" s="38" t="s">
        <v>74</v>
      </c>
    </row>
    <row r="19">
      <c r="A19" s="73">
        <v>0.4151851851851852</v>
      </c>
      <c r="B19" s="48" t="s">
        <v>80</v>
      </c>
      <c r="C19" s="48">
        <v>3.0</v>
      </c>
      <c r="H19" s="38" t="s">
        <v>70</v>
      </c>
      <c r="I19" s="38" t="s">
        <v>71</v>
      </c>
      <c r="J19" s="38" t="s">
        <v>72</v>
      </c>
      <c r="K19" s="82" t="s">
        <v>73</v>
      </c>
      <c r="L19" s="38" t="s">
        <v>74</v>
      </c>
    </row>
    <row r="20">
      <c r="A20" s="73">
        <v>0.41649305555555555</v>
      </c>
      <c r="B20" s="74" t="s">
        <v>81</v>
      </c>
      <c r="C20" s="48">
        <v>3.0</v>
      </c>
      <c r="H20" s="38" t="s">
        <v>70</v>
      </c>
      <c r="J20" s="38" t="s">
        <v>72</v>
      </c>
      <c r="L20" s="38" t="s">
        <v>74</v>
      </c>
    </row>
    <row r="21" ht="15.75" customHeight="1">
      <c r="A21" s="73">
        <v>0.41770833333333335</v>
      </c>
      <c r="B21" s="76" t="s">
        <v>67</v>
      </c>
      <c r="C21" s="48">
        <v>3.0</v>
      </c>
      <c r="H21" s="38" t="s">
        <v>70</v>
      </c>
      <c r="J21" s="38" t="s">
        <v>72</v>
      </c>
      <c r="L21" s="38" t="s">
        <v>74</v>
      </c>
    </row>
    <row r="22" ht="15.75" customHeight="1">
      <c r="A22" s="73">
        <v>0.4678819444444444</v>
      </c>
      <c r="B22" s="48" t="s">
        <v>65</v>
      </c>
      <c r="H22" s="38" t="s">
        <v>70</v>
      </c>
      <c r="J22" s="38" t="s">
        <v>72</v>
      </c>
      <c r="L22" s="38" t="s">
        <v>74</v>
      </c>
    </row>
    <row r="23" ht="15.75" customHeight="1">
      <c r="A23" s="73">
        <v>0.4681712962962963</v>
      </c>
      <c r="B23" s="74" t="s">
        <v>60</v>
      </c>
      <c r="H23" s="38" t="s">
        <v>70</v>
      </c>
      <c r="J23" s="38" t="s">
        <v>72</v>
      </c>
      <c r="L23" s="38" t="s">
        <v>74</v>
      </c>
    </row>
    <row r="24" ht="15.75" customHeight="1">
      <c r="A24" s="73">
        <v>0.4696412037037037</v>
      </c>
      <c r="B24" s="76" t="s">
        <v>67</v>
      </c>
      <c r="H24" s="38"/>
      <c r="J24" s="38" t="s">
        <v>72</v>
      </c>
    </row>
    <row r="25" ht="15.75" customHeight="1">
      <c r="A25" s="73">
        <v>0.4705902777777778</v>
      </c>
      <c r="B25" s="74" t="s">
        <v>60</v>
      </c>
      <c r="C25" s="48">
        <v>2.0</v>
      </c>
      <c r="H25" s="38"/>
      <c r="J25" s="38" t="s">
        <v>72</v>
      </c>
    </row>
    <row r="26" ht="15.75" customHeight="1">
      <c r="A26" s="73">
        <v>0.47118055555555555</v>
      </c>
      <c r="B26" s="76" t="s">
        <v>67</v>
      </c>
      <c r="C26" s="48">
        <v>2.0</v>
      </c>
      <c r="J26" s="38" t="s">
        <v>72</v>
      </c>
    </row>
    <row r="27" ht="15.75" customHeight="1">
      <c r="A27" s="67">
        <v>0.3516782407407407</v>
      </c>
      <c r="B27" s="38" t="s">
        <v>60</v>
      </c>
      <c r="J27" s="38" t="s">
        <v>72</v>
      </c>
    </row>
    <row r="28" ht="15.75" customHeight="1">
      <c r="A28" s="67">
        <v>0.3525462962962963</v>
      </c>
      <c r="B28" s="38" t="s">
        <v>82</v>
      </c>
      <c r="J28" s="38" t="s">
        <v>72</v>
      </c>
    </row>
    <row r="29" ht="15.75" customHeight="1">
      <c r="J29" s="38" t="s">
        <v>72</v>
      </c>
    </row>
    <row r="30" ht="15.75" customHeight="1">
      <c r="J30" s="38" t="s">
        <v>72</v>
      </c>
    </row>
    <row r="31" ht="15.75" customHeight="1">
      <c r="J31" s="38" t="s">
        <v>72</v>
      </c>
    </row>
    <row r="32" ht="15.75" customHeight="1">
      <c r="J32" s="38" t="s">
        <v>72</v>
      </c>
    </row>
    <row r="33" ht="15.75" customHeight="1">
      <c r="J33" s="38" t="s">
        <v>72</v>
      </c>
    </row>
    <row r="34" ht="15.75" customHeight="1">
      <c r="J34" s="38" t="s">
        <v>72</v>
      </c>
    </row>
    <row r="35" ht="15.75" customHeight="1">
      <c r="J35" s="38" t="s">
        <v>72</v>
      </c>
    </row>
    <row r="36" ht="15.75" customHeight="1">
      <c r="J36" s="38" t="s">
        <v>72</v>
      </c>
    </row>
    <row r="37" ht="15.75" customHeight="1">
      <c r="J37" s="38" t="s">
        <v>72</v>
      </c>
    </row>
    <row r="38" ht="15.75" customHeight="1">
      <c r="J38" s="38" t="s">
        <v>72</v>
      </c>
    </row>
    <row r="39" ht="15.75" customHeight="1">
      <c r="J39" s="38" t="s">
        <v>72</v>
      </c>
    </row>
    <row r="40" ht="15.75" customHeight="1">
      <c r="J40" s="38" t="s">
        <v>72</v>
      </c>
    </row>
    <row r="41" ht="15.75" customHeight="1">
      <c r="J41" s="38" t="s">
        <v>72</v>
      </c>
    </row>
    <row r="42" ht="15.75" customHeight="1">
      <c r="J42" s="38" t="s">
        <v>72</v>
      </c>
    </row>
    <row r="43" ht="15.75" customHeight="1">
      <c r="J43" s="38" t="s">
        <v>72</v>
      </c>
    </row>
    <row r="44" ht="15.75" customHeight="1">
      <c r="J44" s="38" t="s">
        <v>72</v>
      </c>
    </row>
    <row r="45" ht="15.75" customHeight="1">
      <c r="J45" s="38" t="s">
        <v>72</v>
      </c>
    </row>
    <row r="46" ht="15.75" customHeight="1">
      <c r="J46" s="38" t="s">
        <v>72</v>
      </c>
    </row>
    <row r="47" ht="15.75" customHeight="1">
      <c r="J47" s="38"/>
    </row>
    <row r="48" ht="15.75" customHeight="1">
      <c r="J48" s="38"/>
    </row>
    <row r="49" ht="15.75" customHeight="1">
      <c r="J49" s="38"/>
    </row>
    <row r="50" ht="15.75" customHeight="1">
      <c r="J50" s="38"/>
    </row>
    <row r="51" ht="15.75" customHeight="1">
      <c r="J51" s="38"/>
    </row>
    <row r="52" ht="15.75" customHeight="1">
      <c r="J52" s="38"/>
    </row>
    <row r="53" ht="15.75" customHeight="1">
      <c r="J53" s="38"/>
    </row>
    <row r="54" ht="15.75" customHeight="1">
      <c r="J54" s="38"/>
    </row>
    <row r="55" ht="15.75" customHeight="1">
      <c r="J55" s="38"/>
    </row>
    <row r="56" ht="15.75" customHeight="1">
      <c r="J56" s="38"/>
    </row>
    <row r="57" ht="15.75" customHeight="1">
      <c r="J57" s="38"/>
    </row>
    <row r="58" ht="15.75" customHeight="1">
      <c r="J58" s="38"/>
    </row>
    <row r="59" ht="15.75" customHeight="1">
      <c r="J59" s="38"/>
    </row>
    <row r="60" ht="15.75" customHeight="1">
      <c r="J60" s="38"/>
    </row>
    <row r="61" ht="15.75" customHeight="1">
      <c r="J61" s="38"/>
    </row>
    <row r="62" ht="15.75" customHeight="1">
      <c r="J62" s="38"/>
    </row>
    <row r="63" ht="15.75" customHeight="1">
      <c r="J63" s="38"/>
    </row>
    <row r="64" ht="15.75" customHeight="1">
      <c r="J64" s="38"/>
    </row>
    <row r="65" ht="15.75" customHeight="1">
      <c r="J65" s="38"/>
    </row>
    <row r="66" ht="15.75" customHeight="1">
      <c r="J66" s="38"/>
    </row>
    <row r="67" ht="15.75" customHeight="1">
      <c r="J67" s="38"/>
    </row>
    <row r="68" ht="15.75" customHeight="1">
      <c r="J68" s="38"/>
    </row>
    <row r="69" ht="15.75" customHeight="1">
      <c r="J69" s="38"/>
    </row>
    <row r="70" ht="15.75" customHeight="1">
      <c r="J70" s="38"/>
    </row>
    <row r="71" ht="15.75" customHeight="1">
      <c r="J71" s="38"/>
    </row>
    <row r="72" ht="15.75" customHeight="1">
      <c r="J72" s="38"/>
    </row>
    <row r="73" ht="15.75" customHeight="1">
      <c r="J73" s="38"/>
    </row>
    <row r="74" ht="15.75" customHeight="1">
      <c r="J74" s="38"/>
    </row>
    <row r="75" ht="15.75" customHeight="1">
      <c r="J75" s="38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7.63"/>
    <col customWidth="1" min="3" max="26" width="8.63"/>
  </cols>
  <sheetData>
    <row r="2">
      <c r="A2" s="73">
        <v>0.36493055555555554</v>
      </c>
      <c r="B2" s="74" t="s">
        <v>83</v>
      </c>
      <c r="D2" s="38" t="s">
        <v>53</v>
      </c>
      <c r="E2" s="38" t="s">
        <v>12</v>
      </c>
      <c r="F2" s="38" t="s">
        <v>84</v>
      </c>
    </row>
    <row r="3">
      <c r="A3" s="73">
        <v>0.36627314814814815</v>
      </c>
      <c r="B3" s="76" t="s">
        <v>85</v>
      </c>
      <c r="D3" s="38">
        <v>1.0</v>
      </c>
      <c r="E3" s="75">
        <f>A3-A2</f>
        <v>0.001342592593</v>
      </c>
      <c r="F3" s="63">
        <f t="shared" ref="F3:F17" si="1">E3*1440</f>
        <v>1.933333333</v>
      </c>
    </row>
    <row r="4">
      <c r="A4" s="73">
        <v>0.37221064814814814</v>
      </c>
      <c r="B4" s="74" t="s">
        <v>83</v>
      </c>
      <c r="D4" s="38">
        <v>2.0</v>
      </c>
      <c r="E4" s="75">
        <f>A5-A4</f>
        <v>0.001631944444</v>
      </c>
      <c r="F4" s="63">
        <f t="shared" si="1"/>
        <v>2.35</v>
      </c>
    </row>
    <row r="5">
      <c r="A5" s="73">
        <v>0.3738425925925926</v>
      </c>
      <c r="B5" s="76" t="s">
        <v>85</v>
      </c>
      <c r="D5" s="38">
        <v>3.0</v>
      </c>
      <c r="E5" s="75">
        <f>A12-A11</f>
        <v>0.001446759259</v>
      </c>
      <c r="F5" s="63">
        <f t="shared" si="1"/>
        <v>2.083333333</v>
      </c>
    </row>
    <row r="6">
      <c r="A6" s="73">
        <v>0.3784722222222222</v>
      </c>
      <c r="B6" s="48" t="s">
        <v>86</v>
      </c>
      <c r="D6" s="38">
        <v>4.0</v>
      </c>
      <c r="E6" s="75">
        <f>A14-A13</f>
        <v>0.001574074074</v>
      </c>
      <c r="F6" s="63">
        <f t="shared" si="1"/>
        <v>2.266666667</v>
      </c>
    </row>
    <row r="7">
      <c r="A7" s="73">
        <v>0.38222222222222224</v>
      </c>
      <c r="B7" s="48" t="s">
        <v>87</v>
      </c>
      <c r="D7" s="38">
        <v>5.0</v>
      </c>
      <c r="E7" s="75">
        <f>A16-A15</f>
        <v>0.000462962963</v>
      </c>
      <c r="F7" s="63">
        <f t="shared" si="1"/>
        <v>0.6666666667</v>
      </c>
    </row>
    <row r="8">
      <c r="A8" s="73">
        <v>0.38755787037037037</v>
      </c>
      <c r="B8" s="48" t="s">
        <v>86</v>
      </c>
      <c r="D8" s="38">
        <v>6.0</v>
      </c>
      <c r="E8" s="75">
        <f>A20-A19</f>
        <v>0.001261574074</v>
      </c>
      <c r="F8" s="63">
        <f t="shared" si="1"/>
        <v>1.816666667</v>
      </c>
    </row>
    <row r="9">
      <c r="A9" s="73">
        <v>0.3909259259259259</v>
      </c>
      <c r="B9" s="48" t="s">
        <v>88</v>
      </c>
      <c r="D9" s="38">
        <v>7.0</v>
      </c>
      <c r="E9" s="75">
        <f>A23-A22</f>
        <v>0.001643518519</v>
      </c>
      <c r="F9" s="63">
        <f t="shared" si="1"/>
        <v>2.366666667</v>
      </c>
    </row>
    <row r="10">
      <c r="A10" s="73">
        <v>0.39130787037037035</v>
      </c>
      <c r="B10" s="48" t="s">
        <v>89</v>
      </c>
      <c r="D10" s="38">
        <v>8.0</v>
      </c>
      <c r="E10" s="75">
        <f>A7-A6</f>
        <v>0.00375</v>
      </c>
      <c r="F10" s="63">
        <f t="shared" si="1"/>
        <v>5.4</v>
      </c>
    </row>
    <row r="11">
      <c r="A11" s="73">
        <v>0.41604166666666664</v>
      </c>
      <c r="B11" s="74" t="s">
        <v>83</v>
      </c>
      <c r="D11" s="38">
        <v>9.0</v>
      </c>
      <c r="E11" s="75">
        <f>A10-A8</f>
        <v>0.00375</v>
      </c>
      <c r="F11" s="63">
        <f t="shared" si="1"/>
        <v>5.4</v>
      </c>
    </row>
    <row r="12">
      <c r="A12" s="73">
        <v>0.41748842592592594</v>
      </c>
      <c r="B12" s="76" t="s">
        <v>85</v>
      </c>
      <c r="D12" s="38">
        <v>10.0</v>
      </c>
      <c r="E12" s="75">
        <f>A25-A24</f>
        <v>0.001805555556</v>
      </c>
      <c r="F12" s="63">
        <f t="shared" si="1"/>
        <v>2.6</v>
      </c>
    </row>
    <row r="13">
      <c r="A13" s="73">
        <v>0.4353472222222222</v>
      </c>
      <c r="B13" s="74" t="s">
        <v>83</v>
      </c>
      <c r="D13" s="38">
        <v>11.0</v>
      </c>
      <c r="E13" s="75">
        <f>A27-A26</f>
        <v>0.005416666667</v>
      </c>
      <c r="F13" s="63">
        <f t="shared" si="1"/>
        <v>7.8</v>
      </c>
    </row>
    <row r="14">
      <c r="A14" s="73">
        <v>0.4369212962962963</v>
      </c>
      <c r="B14" s="76" t="s">
        <v>85</v>
      </c>
      <c r="D14" s="38">
        <v>12.0</v>
      </c>
      <c r="E14" s="75">
        <f>A29-A28</f>
        <v>0.0003356481481</v>
      </c>
      <c r="F14" s="63">
        <f t="shared" si="1"/>
        <v>0.4833333333</v>
      </c>
    </row>
    <row r="15">
      <c r="A15" s="73">
        <v>0.4409722222222222</v>
      </c>
      <c r="B15" s="74" t="s">
        <v>83</v>
      </c>
      <c r="D15" s="38">
        <v>13.0</v>
      </c>
      <c r="E15" s="75">
        <f>A31-A30</f>
        <v>0.0009953703704</v>
      </c>
      <c r="F15" s="63">
        <f t="shared" si="1"/>
        <v>1.433333333</v>
      </c>
    </row>
    <row r="16">
      <c r="A16" s="73">
        <v>0.4414351851851852</v>
      </c>
      <c r="B16" s="76" t="s">
        <v>85</v>
      </c>
      <c r="D16" s="38">
        <v>14.0</v>
      </c>
      <c r="E16" s="75">
        <f>A33-A32</f>
        <v>0.001388888889</v>
      </c>
      <c r="F16" s="63">
        <f t="shared" si="1"/>
        <v>2</v>
      </c>
    </row>
    <row r="17">
      <c r="A17" s="73">
        <v>0.4465625</v>
      </c>
      <c r="B17" s="48" t="s">
        <v>83</v>
      </c>
      <c r="D17" s="38">
        <v>15.0</v>
      </c>
      <c r="E17" s="75">
        <f>A35-A34</f>
        <v>0.001990740741</v>
      </c>
      <c r="F17" s="63">
        <f t="shared" si="1"/>
        <v>2.866666667</v>
      </c>
    </row>
    <row r="18">
      <c r="A18" s="73" t="s">
        <v>90</v>
      </c>
      <c r="D18" s="38">
        <v>16.0</v>
      </c>
      <c r="F18" s="83">
        <v>0.4975</v>
      </c>
    </row>
    <row r="19">
      <c r="A19" s="73">
        <v>0.4527777777777778</v>
      </c>
      <c r="B19" s="74" t="s">
        <v>83</v>
      </c>
      <c r="D19" s="38">
        <v>17.0</v>
      </c>
      <c r="F19" s="83">
        <v>0.4975</v>
      </c>
    </row>
    <row r="20">
      <c r="A20" s="73">
        <v>0.45403935185185185</v>
      </c>
      <c r="B20" s="76" t="s">
        <v>85</v>
      </c>
      <c r="D20" s="38">
        <v>18.0</v>
      </c>
      <c r="F20" s="83">
        <v>0.4975</v>
      </c>
    </row>
    <row r="21" ht="15.75" customHeight="1">
      <c r="A21" s="73">
        <v>0.457037037037037</v>
      </c>
      <c r="B21" s="48" t="s">
        <v>91</v>
      </c>
      <c r="D21" s="38">
        <v>19.0</v>
      </c>
      <c r="F21" s="83">
        <v>0.4975</v>
      </c>
    </row>
    <row r="22" ht="15.75" customHeight="1">
      <c r="A22" s="73">
        <v>0.4658912037037037</v>
      </c>
      <c r="B22" s="74" t="s">
        <v>83</v>
      </c>
      <c r="D22" s="38">
        <v>20.0</v>
      </c>
      <c r="F22" s="83">
        <v>0.4975</v>
      </c>
    </row>
    <row r="23" ht="15.75" customHeight="1">
      <c r="A23" s="73">
        <v>0.4675347222222222</v>
      </c>
      <c r="B23" s="76" t="s">
        <v>85</v>
      </c>
      <c r="D23" s="38">
        <v>21.0</v>
      </c>
      <c r="F23" s="83">
        <v>0.4975</v>
      </c>
    </row>
    <row r="24" ht="15.75" customHeight="1">
      <c r="A24" s="84">
        <v>0.3621064814814815</v>
      </c>
      <c r="B24" s="85" t="s">
        <v>92</v>
      </c>
      <c r="D24" s="38">
        <v>22.0</v>
      </c>
      <c r="F24" s="83">
        <v>0.4975</v>
      </c>
    </row>
    <row r="25" ht="15.75" customHeight="1">
      <c r="A25" s="86">
        <v>0.36391203703703706</v>
      </c>
      <c r="B25" s="87" t="s">
        <v>93</v>
      </c>
      <c r="D25" s="38">
        <v>23.0</v>
      </c>
      <c r="F25" s="83">
        <v>0.4975</v>
      </c>
    </row>
    <row r="26" ht="15.75" customHeight="1">
      <c r="A26" s="88">
        <v>0.373599537037037</v>
      </c>
      <c r="B26" s="89" t="s">
        <v>92</v>
      </c>
      <c r="D26" s="38">
        <v>24.0</v>
      </c>
      <c r="F26" s="83">
        <v>0.4975</v>
      </c>
    </row>
    <row r="27" ht="15.75" customHeight="1">
      <c r="A27" s="90">
        <v>0.3790162037037037</v>
      </c>
      <c r="B27" s="91" t="s">
        <v>94</v>
      </c>
    </row>
    <row r="28" ht="15.75" customHeight="1">
      <c r="A28" s="92">
        <v>0.39358796296296295</v>
      </c>
      <c r="B28" s="93" t="s">
        <v>92</v>
      </c>
    </row>
    <row r="29" ht="15.75" customHeight="1">
      <c r="A29" s="94">
        <v>0.3939236111111111</v>
      </c>
      <c r="B29" s="95" t="s">
        <v>94</v>
      </c>
    </row>
    <row r="30" ht="15.75" customHeight="1">
      <c r="A30" s="96">
        <v>0.4192939814814815</v>
      </c>
      <c r="B30" s="97" t="s">
        <v>92</v>
      </c>
    </row>
    <row r="31" ht="15.75" customHeight="1">
      <c r="A31" s="98">
        <v>0.42028935185185184</v>
      </c>
      <c r="B31" s="99" t="s">
        <v>94</v>
      </c>
    </row>
    <row r="32" ht="15.75" customHeight="1">
      <c r="A32" s="100">
        <v>0.4309837962962963</v>
      </c>
      <c r="B32" s="101" t="s">
        <v>92</v>
      </c>
    </row>
    <row r="33" ht="15.75" customHeight="1">
      <c r="A33" s="102">
        <v>0.4323726851851852</v>
      </c>
      <c r="B33" s="103" t="s">
        <v>94</v>
      </c>
    </row>
    <row r="34" ht="15.75" customHeight="1">
      <c r="A34" s="104">
        <v>0.43550925925925926</v>
      </c>
      <c r="B34" s="105" t="s">
        <v>92</v>
      </c>
    </row>
    <row r="35" ht="15.75" customHeight="1">
      <c r="A35" s="106">
        <v>0.4375</v>
      </c>
      <c r="B35" s="107" t="s">
        <v>94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75"/>
    <col customWidth="1" min="3" max="5" width="8.63"/>
    <col customWidth="1" min="6" max="6" width="14.5"/>
    <col customWidth="1" min="7" max="7" width="12.75"/>
    <col customWidth="1" min="8" max="27" width="8.63"/>
  </cols>
  <sheetData>
    <row r="1">
      <c r="A1" s="73">
        <v>0.39282407407407405</v>
      </c>
      <c r="B1" s="48" t="s">
        <v>95</v>
      </c>
      <c r="D1" s="38" t="s">
        <v>53</v>
      </c>
      <c r="E1" s="38" t="s">
        <v>12</v>
      </c>
      <c r="F1" s="38" t="s">
        <v>96</v>
      </c>
      <c r="G1" s="48" t="s">
        <v>97</v>
      </c>
    </row>
    <row r="2">
      <c r="A2" s="73">
        <v>0.39358796296296295</v>
      </c>
      <c r="B2" s="48" t="s">
        <v>98</v>
      </c>
      <c r="D2" s="38">
        <v>1.0</v>
      </c>
      <c r="E2" s="75">
        <f>A3-A2</f>
        <v>0.00181712963</v>
      </c>
      <c r="F2" s="63">
        <f t="shared" ref="F2:F6" si="1">E2*1440</f>
        <v>2.616666667</v>
      </c>
    </row>
    <row r="3">
      <c r="A3" s="73">
        <v>0.3954050925925926</v>
      </c>
      <c r="B3" s="48" t="s">
        <v>99</v>
      </c>
      <c r="D3" s="38">
        <v>2.0</v>
      </c>
      <c r="E3" s="81">
        <f>A6-A5</f>
        <v>0.0005208333333</v>
      </c>
      <c r="F3" s="63">
        <f t="shared" si="1"/>
        <v>0.75</v>
      </c>
    </row>
    <row r="4">
      <c r="A4" s="73">
        <v>0.40046296296296297</v>
      </c>
      <c r="B4" s="48" t="s">
        <v>95</v>
      </c>
      <c r="D4" s="38">
        <v>3.0</v>
      </c>
      <c r="E4" s="75">
        <f>A11-A10</f>
        <v>0.001157407407</v>
      </c>
      <c r="F4" s="63">
        <f t="shared" si="1"/>
        <v>1.666666667</v>
      </c>
    </row>
    <row r="5">
      <c r="A5" s="73">
        <v>0.4062152777777778</v>
      </c>
      <c r="B5" s="48" t="s">
        <v>100</v>
      </c>
      <c r="D5" s="38">
        <v>4.0</v>
      </c>
      <c r="E5" s="75">
        <f>A14-A13</f>
        <v>0.001446759259</v>
      </c>
      <c r="F5" s="63">
        <f t="shared" si="1"/>
        <v>2.083333333</v>
      </c>
    </row>
    <row r="6">
      <c r="A6" s="67">
        <v>0.40673611111111113</v>
      </c>
      <c r="B6" s="48" t="s">
        <v>101</v>
      </c>
      <c r="D6" s="38">
        <v>5.0</v>
      </c>
      <c r="E6" s="75">
        <f>A8-A7</f>
        <v>0.00125</v>
      </c>
      <c r="F6" s="63">
        <f t="shared" si="1"/>
        <v>1.8</v>
      </c>
    </row>
    <row r="7">
      <c r="A7" s="73">
        <v>0.4068287037037037</v>
      </c>
      <c r="B7" s="48" t="s">
        <v>102</v>
      </c>
      <c r="D7" s="38">
        <v>6.0</v>
      </c>
      <c r="F7" s="66">
        <v>0.4999999999999982</v>
      </c>
    </row>
    <row r="8">
      <c r="A8" s="108">
        <v>0.4080787037037037</v>
      </c>
      <c r="B8" s="48" t="s">
        <v>101</v>
      </c>
      <c r="D8" s="38">
        <v>7.0</v>
      </c>
      <c r="F8" s="66">
        <v>2.9999999999999893</v>
      </c>
    </row>
    <row r="9">
      <c r="A9" s="73">
        <v>0.44324074074074077</v>
      </c>
      <c r="B9" s="48" t="s">
        <v>95</v>
      </c>
      <c r="D9" s="38">
        <v>8.0</v>
      </c>
      <c r="F9" s="66">
        <v>13.99999999999995</v>
      </c>
    </row>
    <row r="10">
      <c r="A10" s="73">
        <v>0.4444444444444444</v>
      </c>
      <c r="B10" s="48" t="s">
        <v>98</v>
      </c>
      <c r="D10" s="38">
        <v>9.0</v>
      </c>
      <c r="F10" s="66">
        <v>0.9999999999999964</v>
      </c>
    </row>
    <row r="11">
      <c r="A11" s="73">
        <v>0.44560185185185186</v>
      </c>
      <c r="B11" s="48" t="s">
        <v>101</v>
      </c>
      <c r="D11" s="38">
        <v>10.0</v>
      </c>
      <c r="F11" s="66">
        <v>0.4999999999999183</v>
      </c>
    </row>
    <row r="12">
      <c r="A12" s="73">
        <v>0.4466435185185185</v>
      </c>
      <c r="B12" s="48" t="s">
        <v>95</v>
      </c>
      <c r="D12" s="38">
        <v>11.0</v>
      </c>
      <c r="F12" s="66">
        <v>2.3999999999999755</v>
      </c>
    </row>
    <row r="13">
      <c r="A13" s="73">
        <v>0.4474884259259259</v>
      </c>
      <c r="B13" s="48" t="s">
        <v>98</v>
      </c>
    </row>
    <row r="14">
      <c r="A14" s="73">
        <v>0.44893518518518516</v>
      </c>
      <c r="B14" s="48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25.5"/>
    <col customWidth="1" min="3" max="3" width="10.5"/>
    <col customWidth="1" min="4" max="4" width="14.75"/>
    <col customWidth="1" min="5" max="11" width="8.63"/>
    <col customWidth="1" min="12" max="13" width="16.38"/>
    <col customWidth="1" min="14" max="14" width="16.63"/>
    <col customWidth="1" min="15" max="15" width="18.88"/>
    <col customWidth="1" min="16" max="16" width="14.38"/>
    <col customWidth="1" min="17" max="26" width="8.63"/>
  </cols>
  <sheetData>
    <row r="1">
      <c r="A1" s="109" t="s">
        <v>0</v>
      </c>
      <c r="G1" s="38" t="s">
        <v>41</v>
      </c>
      <c r="T1" s="110"/>
    </row>
    <row r="2">
      <c r="A2" s="3">
        <v>0.3590277777777778</v>
      </c>
      <c r="B2" s="38" t="s">
        <v>103</v>
      </c>
      <c r="D2" s="63">
        <f>(A40-A2)*1440</f>
        <v>159</v>
      </c>
      <c r="F2" s="111">
        <f t="shared" ref="F2:F39" si="1">A3-A2</f>
        <v>0.00625</v>
      </c>
      <c r="G2" s="60">
        <f t="shared" ref="G2:G39" si="2">F2*1440</f>
        <v>9</v>
      </c>
      <c r="J2" s="112" t="s">
        <v>104</v>
      </c>
      <c r="K2" s="112" t="s">
        <v>105</v>
      </c>
      <c r="L2" s="112" t="s">
        <v>106</v>
      </c>
      <c r="M2" s="112" t="s">
        <v>107</v>
      </c>
      <c r="N2" s="112" t="s">
        <v>108</v>
      </c>
      <c r="O2" s="112" t="s">
        <v>109</v>
      </c>
      <c r="P2" s="112" t="s">
        <v>110</v>
      </c>
      <c r="T2" s="110"/>
    </row>
    <row r="3">
      <c r="A3" s="3">
        <v>0.36527777777777776</v>
      </c>
      <c r="B3" s="38" t="s">
        <v>111</v>
      </c>
      <c r="D3" s="48">
        <f>COUNTA(A2:A40)</f>
        <v>39</v>
      </c>
      <c r="F3" s="111">
        <f t="shared" si="1"/>
        <v>0.0006944444444</v>
      </c>
      <c r="G3" s="60">
        <f t="shared" si="2"/>
        <v>1</v>
      </c>
      <c r="J3" s="113">
        <v>1.0</v>
      </c>
      <c r="K3" s="114" t="s">
        <v>112</v>
      </c>
      <c r="L3" s="115">
        <v>45960.055555555555</v>
      </c>
      <c r="M3" s="115">
        <v>45960.089583333334</v>
      </c>
      <c r="N3" s="48">
        <f t="shared" ref="N3:N349" si="3">M3-L3</f>
        <v>0.03402777778</v>
      </c>
      <c r="O3" s="48">
        <f t="shared" ref="O3:O349" si="4">N3*1440</f>
        <v>49</v>
      </c>
      <c r="P3" s="116">
        <v>22.0</v>
      </c>
      <c r="S3" s="48">
        <f t="shared" ref="S3:S245" si="5">L4-L3</f>
        <v>0.01527777778</v>
      </c>
      <c r="T3" s="110">
        <f t="shared" ref="T3:T245" si="6">S3*1440</f>
        <v>22</v>
      </c>
      <c r="W3" s="117" t="s">
        <v>113</v>
      </c>
      <c r="X3" s="117" t="s">
        <v>114</v>
      </c>
      <c r="Y3" s="38" t="s">
        <v>115</v>
      </c>
    </row>
    <row r="4">
      <c r="A4" s="3">
        <v>0.3659722222222222</v>
      </c>
      <c r="B4" s="118" t="s">
        <v>116</v>
      </c>
      <c r="C4" s="74"/>
      <c r="D4" s="74">
        <f>D3/D2</f>
        <v>0.2452830189</v>
      </c>
      <c r="F4" s="111">
        <f t="shared" si="1"/>
        <v>0.002777777778</v>
      </c>
      <c r="G4" s="60">
        <f t="shared" si="2"/>
        <v>4</v>
      </c>
      <c r="J4" s="113">
        <v>1.0</v>
      </c>
      <c r="K4" s="114" t="s">
        <v>112</v>
      </c>
      <c r="L4" s="115">
        <v>45960.07083333333</v>
      </c>
      <c r="M4" s="115">
        <v>45960.24444444444</v>
      </c>
      <c r="N4" s="48">
        <f t="shared" si="3"/>
        <v>0.1736111111</v>
      </c>
      <c r="O4" s="48">
        <f t="shared" si="4"/>
        <v>250</v>
      </c>
      <c r="P4" s="116">
        <v>4.0</v>
      </c>
      <c r="S4" s="48">
        <f t="shared" si="5"/>
        <v>0.00277777778</v>
      </c>
      <c r="T4" s="110">
        <f t="shared" si="6"/>
        <v>4.000000003</v>
      </c>
      <c r="W4" s="119">
        <v>22.0</v>
      </c>
      <c r="X4" s="117">
        <v>6.0</v>
      </c>
      <c r="Y4" s="48">
        <f>1/X4</f>
        <v>0.1666666667</v>
      </c>
    </row>
    <row r="5">
      <c r="A5" s="3">
        <v>0.36875</v>
      </c>
      <c r="F5" s="111">
        <f t="shared" si="1"/>
        <v>0.002777777778</v>
      </c>
      <c r="G5" s="60">
        <f t="shared" si="2"/>
        <v>4</v>
      </c>
      <c r="J5" s="113">
        <v>1.0</v>
      </c>
      <c r="K5" s="114" t="s">
        <v>112</v>
      </c>
      <c r="L5" s="115">
        <v>45960.07361111111</v>
      </c>
      <c r="M5" s="115">
        <v>45960.220138888886</v>
      </c>
      <c r="N5" s="48">
        <f t="shared" si="3"/>
        <v>0.1465277778</v>
      </c>
      <c r="O5" s="48">
        <f t="shared" si="4"/>
        <v>211</v>
      </c>
      <c r="P5" s="116">
        <v>9.0</v>
      </c>
      <c r="S5" s="48">
        <f t="shared" si="5"/>
        <v>0.006249999999</v>
      </c>
      <c r="T5" s="110">
        <f t="shared" si="6"/>
        <v>8.999999998</v>
      </c>
      <c r="W5" s="119">
        <v>4.0</v>
      </c>
    </row>
    <row r="6">
      <c r="A6" s="3">
        <v>0.3715277777777778</v>
      </c>
      <c r="F6" s="111">
        <f t="shared" si="1"/>
        <v>0.008333333333</v>
      </c>
      <c r="G6" s="60">
        <f t="shared" si="2"/>
        <v>12</v>
      </c>
      <c r="J6" s="113">
        <v>1.0</v>
      </c>
      <c r="K6" s="114" t="s">
        <v>117</v>
      </c>
      <c r="L6" s="115">
        <v>45960.07986111111</v>
      </c>
      <c r="M6" s="115">
        <v>45960.08888888889</v>
      </c>
      <c r="N6" s="48">
        <f t="shared" si="3"/>
        <v>0.009027777778</v>
      </c>
      <c r="O6" s="48">
        <f t="shared" si="4"/>
        <v>13</v>
      </c>
      <c r="P6" s="116">
        <v>23.0</v>
      </c>
      <c r="S6" s="48">
        <f t="shared" si="5"/>
        <v>0.01597222222</v>
      </c>
      <c r="T6" s="110">
        <f t="shared" si="6"/>
        <v>23</v>
      </c>
      <c r="W6" s="119">
        <v>9.0</v>
      </c>
    </row>
    <row r="7">
      <c r="A7" s="3">
        <v>0.3798611111111111</v>
      </c>
      <c r="F7" s="111">
        <f t="shared" si="1"/>
        <v>0</v>
      </c>
      <c r="G7" s="60">
        <f t="shared" si="2"/>
        <v>0</v>
      </c>
      <c r="J7" s="113">
        <v>1.0</v>
      </c>
      <c r="K7" s="114" t="s">
        <v>117</v>
      </c>
      <c r="L7" s="115">
        <v>45960.09583333333</v>
      </c>
      <c r="M7" s="115">
        <v>45960.24652777778</v>
      </c>
      <c r="N7" s="48">
        <f t="shared" si="3"/>
        <v>0.1506944444</v>
      </c>
      <c r="O7" s="48">
        <f t="shared" si="4"/>
        <v>217</v>
      </c>
      <c r="P7" s="116">
        <v>0.0</v>
      </c>
      <c r="S7" s="48">
        <f t="shared" si="5"/>
        <v>0</v>
      </c>
      <c r="T7" s="110">
        <f t="shared" si="6"/>
        <v>0</v>
      </c>
      <c r="W7" s="119">
        <v>23.0</v>
      </c>
      <c r="X7" s="48">
        <f>X4*0.8</f>
        <v>4.8</v>
      </c>
      <c r="Y7" s="48">
        <f>1/X7</f>
        <v>0.2083333333</v>
      </c>
    </row>
    <row r="8">
      <c r="A8" s="3">
        <v>0.3798611111111111</v>
      </c>
      <c r="F8" s="111">
        <f t="shared" si="1"/>
        <v>0.01111111111</v>
      </c>
      <c r="G8" s="60">
        <f t="shared" si="2"/>
        <v>16</v>
      </c>
      <c r="J8" s="113">
        <v>1.0</v>
      </c>
      <c r="K8" s="114" t="s">
        <v>112</v>
      </c>
      <c r="L8" s="115">
        <v>45960.09583333333</v>
      </c>
      <c r="M8" s="115">
        <v>45960.271527777775</v>
      </c>
      <c r="N8" s="48">
        <f t="shared" si="3"/>
        <v>0.1756944444</v>
      </c>
      <c r="O8" s="48">
        <f t="shared" si="4"/>
        <v>253</v>
      </c>
      <c r="P8" s="116">
        <v>7.0</v>
      </c>
      <c r="S8" s="48">
        <f t="shared" si="5"/>
        <v>0.004861111112</v>
      </c>
      <c r="T8" s="110">
        <f t="shared" si="6"/>
        <v>7.000000002</v>
      </c>
      <c r="W8" s="119">
        <v>0.0</v>
      </c>
    </row>
    <row r="9">
      <c r="A9" s="3">
        <v>0.3909722222222222</v>
      </c>
      <c r="F9" s="111">
        <f t="shared" si="1"/>
        <v>0.007638888889</v>
      </c>
      <c r="G9" s="60">
        <f t="shared" si="2"/>
        <v>11</v>
      </c>
      <c r="J9" s="113">
        <v>1.0</v>
      </c>
      <c r="K9" s="114" t="s">
        <v>112</v>
      </c>
      <c r="L9" s="115">
        <v>45960.100694444445</v>
      </c>
      <c r="M9" s="115">
        <v>45960.48125</v>
      </c>
      <c r="N9" s="48">
        <f t="shared" si="3"/>
        <v>0.3805555556</v>
      </c>
      <c r="O9" s="48">
        <f t="shared" si="4"/>
        <v>548</v>
      </c>
      <c r="P9" s="116">
        <v>18.0</v>
      </c>
      <c r="S9" s="48">
        <f t="shared" si="5"/>
        <v>0.0125</v>
      </c>
      <c r="T9" s="110">
        <f t="shared" si="6"/>
        <v>18</v>
      </c>
      <c r="W9" s="119">
        <v>7.0</v>
      </c>
    </row>
    <row r="10">
      <c r="A10" s="3">
        <v>0.39861111111111114</v>
      </c>
      <c r="F10" s="111">
        <f t="shared" si="1"/>
        <v>0.0006944444444</v>
      </c>
      <c r="G10" s="60">
        <f t="shared" si="2"/>
        <v>1</v>
      </c>
      <c r="J10" s="113">
        <v>1.0</v>
      </c>
      <c r="K10" s="114" t="s">
        <v>117</v>
      </c>
      <c r="L10" s="115">
        <v>45960.11319444444</v>
      </c>
      <c r="M10" s="115">
        <v>45960.294444444444</v>
      </c>
      <c r="N10" s="48">
        <f t="shared" si="3"/>
        <v>0.18125</v>
      </c>
      <c r="O10" s="48">
        <f t="shared" si="4"/>
        <v>261</v>
      </c>
      <c r="P10" s="116">
        <v>169.0</v>
      </c>
      <c r="S10" s="48">
        <f t="shared" si="5"/>
        <v>0.1173611111</v>
      </c>
      <c r="T10" s="110">
        <f t="shared" si="6"/>
        <v>169</v>
      </c>
      <c r="W10" s="119">
        <v>18.0</v>
      </c>
    </row>
    <row r="11">
      <c r="A11" s="3">
        <v>0.3993055555555556</v>
      </c>
      <c r="F11" s="111">
        <f t="shared" si="1"/>
        <v>0.004861111111</v>
      </c>
      <c r="G11" s="60">
        <f t="shared" si="2"/>
        <v>7</v>
      </c>
      <c r="J11" s="113">
        <v>1.0</v>
      </c>
      <c r="K11" s="114" t="s">
        <v>118</v>
      </c>
      <c r="L11" s="115">
        <v>45960.23055555556</v>
      </c>
      <c r="M11" s="115">
        <v>45960.34097222222</v>
      </c>
      <c r="N11" s="48">
        <f t="shared" si="3"/>
        <v>0.1104166667</v>
      </c>
      <c r="O11" s="48">
        <f t="shared" si="4"/>
        <v>159</v>
      </c>
      <c r="P11" s="116">
        <v>9.0</v>
      </c>
      <c r="S11" s="48">
        <f t="shared" si="5"/>
        <v>0.006249999999</v>
      </c>
      <c r="T11" s="110">
        <f t="shared" si="6"/>
        <v>8.999999998</v>
      </c>
      <c r="W11" s="119">
        <v>169.0</v>
      </c>
    </row>
    <row r="12">
      <c r="A12" s="3">
        <v>0.4041666666666667</v>
      </c>
      <c r="F12" s="111">
        <f t="shared" si="1"/>
        <v>0.002777777778</v>
      </c>
      <c r="G12" s="60">
        <f t="shared" si="2"/>
        <v>4</v>
      </c>
      <c r="J12" s="113">
        <v>1.0</v>
      </c>
      <c r="K12" s="114" t="s">
        <v>119</v>
      </c>
      <c r="L12" s="115">
        <v>45960.236805555556</v>
      </c>
      <c r="M12" s="115">
        <v>45960.46111111111</v>
      </c>
      <c r="N12" s="48">
        <f t="shared" si="3"/>
        <v>0.2243055556</v>
      </c>
      <c r="O12" s="48">
        <f t="shared" si="4"/>
        <v>323</v>
      </c>
      <c r="P12" s="116">
        <v>1.0</v>
      </c>
      <c r="S12" s="48">
        <f t="shared" si="5"/>
        <v>0.0006944444467</v>
      </c>
      <c r="T12" s="110">
        <f t="shared" si="6"/>
        <v>1.000000003</v>
      </c>
      <c r="W12" s="119">
        <v>9.0</v>
      </c>
    </row>
    <row r="13">
      <c r="A13" s="3">
        <v>0.40694444444444444</v>
      </c>
      <c r="F13" s="111">
        <f t="shared" si="1"/>
        <v>0.003472222222</v>
      </c>
      <c r="G13" s="60">
        <f t="shared" si="2"/>
        <v>5</v>
      </c>
      <c r="J13" s="113">
        <v>1.0</v>
      </c>
      <c r="K13" s="114" t="s">
        <v>119</v>
      </c>
      <c r="L13" s="115">
        <v>45960.2375</v>
      </c>
      <c r="M13" s="115">
        <v>45960.316666666666</v>
      </c>
      <c r="N13" s="48">
        <f t="shared" si="3"/>
        <v>0.07916666666</v>
      </c>
      <c r="O13" s="48">
        <f t="shared" si="4"/>
        <v>114</v>
      </c>
      <c r="P13" s="116">
        <v>1.0</v>
      </c>
      <c r="S13" s="48">
        <f t="shared" si="5"/>
        <v>0.0006944444394</v>
      </c>
      <c r="T13" s="110">
        <f t="shared" si="6"/>
        <v>0.9999999928</v>
      </c>
      <c r="W13" s="119">
        <v>1.0</v>
      </c>
    </row>
    <row r="14">
      <c r="A14" s="3">
        <v>0.41041666666666665</v>
      </c>
      <c r="F14" s="111">
        <f t="shared" si="1"/>
        <v>0.002083333333</v>
      </c>
      <c r="G14" s="60">
        <f t="shared" si="2"/>
        <v>3</v>
      </c>
      <c r="J14" s="113">
        <v>1.0</v>
      </c>
      <c r="K14" s="114" t="s">
        <v>120</v>
      </c>
      <c r="L14" s="115">
        <v>45960.23819444444</v>
      </c>
      <c r="M14" s="115">
        <v>45960.427777777775</v>
      </c>
      <c r="N14" s="48">
        <f t="shared" si="3"/>
        <v>0.1895833333</v>
      </c>
      <c r="O14" s="48">
        <f t="shared" si="4"/>
        <v>273</v>
      </c>
      <c r="P14" s="116">
        <v>30.0</v>
      </c>
      <c r="S14" s="48">
        <f t="shared" si="5"/>
        <v>0.02083333334</v>
      </c>
      <c r="T14" s="110">
        <f t="shared" si="6"/>
        <v>30</v>
      </c>
      <c r="W14" s="119">
        <v>1.0</v>
      </c>
    </row>
    <row r="15">
      <c r="A15" s="3">
        <v>0.4125</v>
      </c>
      <c r="F15" s="111">
        <f t="shared" si="1"/>
        <v>0.004166666667</v>
      </c>
      <c r="G15" s="60">
        <f t="shared" si="2"/>
        <v>6</v>
      </c>
      <c r="J15" s="113">
        <v>1.0</v>
      </c>
      <c r="K15" s="114" t="s">
        <v>121</v>
      </c>
      <c r="L15" s="115">
        <v>45960.25902777778</v>
      </c>
      <c r="M15" s="115">
        <v>45960.41111111111</v>
      </c>
      <c r="N15" s="48">
        <f t="shared" si="3"/>
        <v>0.1520833333</v>
      </c>
      <c r="O15" s="48">
        <f t="shared" si="4"/>
        <v>219</v>
      </c>
      <c r="P15" s="116">
        <v>8.0</v>
      </c>
      <c r="S15" s="48">
        <f t="shared" si="5"/>
        <v>0.005555555552</v>
      </c>
      <c r="T15" s="110">
        <f t="shared" si="6"/>
        <v>7.999999995</v>
      </c>
      <c r="W15" s="119">
        <v>30.0</v>
      </c>
      <c r="Y15" s="48">
        <f>0.239 * 1.2</f>
        <v>0.2868</v>
      </c>
    </row>
    <row r="16">
      <c r="A16" s="3">
        <v>0.4166666666666667</v>
      </c>
      <c r="F16" s="111">
        <f t="shared" si="1"/>
        <v>0.00625</v>
      </c>
      <c r="G16" s="60">
        <f t="shared" si="2"/>
        <v>9</v>
      </c>
      <c r="J16" s="113">
        <v>1.0</v>
      </c>
      <c r="K16" s="114" t="s">
        <v>122</v>
      </c>
      <c r="L16" s="115">
        <v>45960.26458333333</v>
      </c>
      <c r="M16" s="115">
        <v>45960.481944444444</v>
      </c>
      <c r="N16" s="48">
        <f t="shared" si="3"/>
        <v>0.2173611111</v>
      </c>
      <c r="O16" s="48">
        <f t="shared" si="4"/>
        <v>313</v>
      </c>
      <c r="P16" s="116">
        <v>2.0</v>
      </c>
      <c r="S16" s="48">
        <f t="shared" si="5"/>
        <v>0.001388888893</v>
      </c>
      <c r="T16" s="110">
        <f t="shared" si="6"/>
        <v>2.000000007</v>
      </c>
      <c r="W16" s="119">
        <v>8.0</v>
      </c>
    </row>
    <row r="17">
      <c r="A17" s="3">
        <v>0.42291666666666666</v>
      </c>
      <c r="F17" s="111">
        <f t="shared" si="1"/>
        <v>0.005555555556</v>
      </c>
      <c r="G17" s="60">
        <f t="shared" si="2"/>
        <v>8</v>
      </c>
      <c r="J17" s="113">
        <v>1.0</v>
      </c>
      <c r="K17" s="114" t="s">
        <v>122</v>
      </c>
      <c r="L17" s="115">
        <v>45960.26597222222</v>
      </c>
      <c r="M17" s="115">
        <v>45960.47152777778</v>
      </c>
      <c r="N17" s="48">
        <f t="shared" si="3"/>
        <v>0.2055555556</v>
      </c>
      <c r="O17" s="48">
        <f t="shared" si="4"/>
        <v>296</v>
      </c>
      <c r="P17" s="116">
        <v>5.0</v>
      </c>
      <c r="S17" s="48">
        <f t="shared" si="5"/>
        <v>0.003472222219</v>
      </c>
      <c r="T17" s="110">
        <f t="shared" si="6"/>
        <v>4.999999995</v>
      </c>
      <c r="W17" s="119">
        <v>2.0</v>
      </c>
    </row>
    <row r="18">
      <c r="A18" s="3">
        <v>0.4284722222222222</v>
      </c>
      <c r="F18" s="111">
        <f t="shared" si="1"/>
        <v>0.002777777778</v>
      </c>
      <c r="G18" s="60">
        <f t="shared" si="2"/>
        <v>4</v>
      </c>
      <c r="J18" s="113">
        <v>1.0</v>
      </c>
      <c r="K18" s="114" t="s">
        <v>118</v>
      </c>
      <c r="L18" s="115">
        <v>45960.26944444444</v>
      </c>
      <c r="M18" s="115">
        <v>45960.42152777778</v>
      </c>
      <c r="N18" s="48">
        <f t="shared" si="3"/>
        <v>0.1520833333</v>
      </c>
      <c r="O18" s="48">
        <f t="shared" si="4"/>
        <v>219</v>
      </c>
      <c r="P18" s="116">
        <v>0.0</v>
      </c>
      <c r="S18" s="48">
        <f t="shared" si="5"/>
        <v>0</v>
      </c>
      <c r="T18" s="110">
        <f t="shared" si="6"/>
        <v>0</v>
      </c>
      <c r="W18" s="119">
        <v>5.0</v>
      </c>
    </row>
    <row r="19">
      <c r="A19" s="3">
        <v>0.43125</v>
      </c>
      <c r="F19" s="111">
        <f t="shared" si="1"/>
        <v>0.001388888889</v>
      </c>
      <c r="G19" s="60">
        <f t="shared" si="2"/>
        <v>2</v>
      </c>
      <c r="J19" s="113">
        <v>1.0</v>
      </c>
      <c r="K19" s="114" t="s">
        <v>123</v>
      </c>
      <c r="L19" s="115">
        <v>45960.26944444444</v>
      </c>
      <c r="M19" s="115">
        <v>45960.486805555556</v>
      </c>
      <c r="N19" s="48">
        <f t="shared" si="3"/>
        <v>0.2173611111</v>
      </c>
      <c r="O19" s="48">
        <f t="shared" si="4"/>
        <v>313</v>
      </c>
      <c r="P19" s="116">
        <v>7.0</v>
      </c>
      <c r="S19" s="48">
        <f t="shared" si="5"/>
        <v>0.004861111112</v>
      </c>
      <c r="T19" s="110">
        <f t="shared" si="6"/>
        <v>7.000000002</v>
      </c>
      <c r="W19" s="119">
        <v>0.0</v>
      </c>
    </row>
    <row r="20">
      <c r="A20" s="3">
        <v>0.4326388888888889</v>
      </c>
      <c r="F20" s="111">
        <f t="shared" si="1"/>
        <v>0.002083333333</v>
      </c>
      <c r="G20" s="60">
        <f t="shared" si="2"/>
        <v>3</v>
      </c>
      <c r="J20" s="113">
        <v>1.0</v>
      </c>
      <c r="K20" s="114" t="s">
        <v>124</v>
      </c>
      <c r="L20" s="115">
        <v>45960.274305555555</v>
      </c>
      <c r="M20" s="115">
        <v>45960.41180555556</v>
      </c>
      <c r="N20" s="48">
        <f t="shared" si="3"/>
        <v>0.1375</v>
      </c>
      <c r="O20" s="48">
        <f t="shared" si="4"/>
        <v>198</v>
      </c>
      <c r="P20" s="116">
        <v>4.0</v>
      </c>
      <c r="S20" s="48">
        <f t="shared" si="5"/>
        <v>0.00277777778</v>
      </c>
      <c r="T20" s="110">
        <f t="shared" si="6"/>
        <v>4.000000003</v>
      </c>
      <c r="W20" s="119">
        <v>7.0</v>
      </c>
    </row>
    <row r="21" ht="15.75" customHeight="1">
      <c r="A21" s="3">
        <v>0.43472222222222223</v>
      </c>
      <c r="F21" s="111">
        <f t="shared" si="1"/>
        <v>0.002083333333</v>
      </c>
      <c r="G21" s="60">
        <f t="shared" si="2"/>
        <v>3</v>
      </c>
      <c r="J21" s="113">
        <v>1.0</v>
      </c>
      <c r="K21" s="114" t="s">
        <v>125</v>
      </c>
      <c r="L21" s="115">
        <v>45960.277083333334</v>
      </c>
      <c r="M21" s="115">
        <v>45960.41111111111</v>
      </c>
      <c r="N21" s="48">
        <f t="shared" si="3"/>
        <v>0.1340277778</v>
      </c>
      <c r="O21" s="48">
        <f t="shared" si="4"/>
        <v>193</v>
      </c>
      <c r="P21" s="116">
        <v>0.0</v>
      </c>
      <c r="S21" s="48">
        <f t="shared" si="5"/>
        <v>0</v>
      </c>
      <c r="T21" s="110">
        <f t="shared" si="6"/>
        <v>0</v>
      </c>
      <c r="W21" s="119">
        <v>4.0</v>
      </c>
    </row>
    <row r="22" ht="15.75" customHeight="1">
      <c r="A22" s="3">
        <v>0.43680555555555556</v>
      </c>
      <c r="F22" s="111">
        <f t="shared" si="1"/>
        <v>0.002083333333</v>
      </c>
      <c r="G22" s="60">
        <f t="shared" si="2"/>
        <v>3</v>
      </c>
      <c r="J22" s="113">
        <v>1.0</v>
      </c>
      <c r="K22" s="114" t="s">
        <v>126</v>
      </c>
      <c r="L22" s="115">
        <v>45960.277083333334</v>
      </c>
      <c r="M22" s="115">
        <v>45960.46111111111</v>
      </c>
      <c r="N22" s="48">
        <f t="shared" si="3"/>
        <v>0.1840277778</v>
      </c>
      <c r="O22" s="48">
        <f t="shared" si="4"/>
        <v>265</v>
      </c>
      <c r="P22" s="116">
        <v>8.0</v>
      </c>
      <c r="S22" s="48">
        <f t="shared" si="5"/>
        <v>0.005555555552</v>
      </c>
      <c r="T22" s="110">
        <f t="shared" si="6"/>
        <v>7.999999995</v>
      </c>
      <c r="W22" s="119">
        <v>0.0</v>
      </c>
    </row>
    <row r="23" ht="15.75" customHeight="1">
      <c r="A23" s="3">
        <v>0.4388888888888889</v>
      </c>
      <c r="F23" s="111">
        <f t="shared" si="1"/>
        <v>0.005555555556</v>
      </c>
      <c r="G23" s="60">
        <f t="shared" si="2"/>
        <v>8</v>
      </c>
      <c r="J23" s="113">
        <v>1.0</v>
      </c>
      <c r="K23" s="114" t="s">
        <v>125</v>
      </c>
      <c r="L23" s="115">
        <v>45960.282638888886</v>
      </c>
      <c r="M23" s="115">
        <v>45960.42638888889</v>
      </c>
      <c r="N23" s="48">
        <f t="shared" si="3"/>
        <v>0.14375</v>
      </c>
      <c r="O23" s="48">
        <f t="shared" si="4"/>
        <v>207</v>
      </c>
      <c r="P23" s="116">
        <v>12.0</v>
      </c>
      <c r="S23" s="48">
        <f t="shared" si="5"/>
        <v>0.008333333339</v>
      </c>
      <c r="T23" s="110">
        <f t="shared" si="6"/>
        <v>12.00000001</v>
      </c>
      <c r="W23" s="119">
        <v>8.0</v>
      </c>
    </row>
    <row r="24" ht="15.75" customHeight="1">
      <c r="A24" s="3">
        <v>0.4444444444444444</v>
      </c>
      <c r="F24" s="111">
        <f t="shared" si="1"/>
        <v>0.0006944444444</v>
      </c>
      <c r="G24" s="60">
        <f t="shared" si="2"/>
        <v>1</v>
      </c>
      <c r="J24" s="113">
        <v>1.0</v>
      </c>
      <c r="K24" s="114" t="s">
        <v>112</v>
      </c>
      <c r="L24" s="115">
        <v>45960.290972222225</v>
      </c>
      <c r="M24" s="115">
        <v>45960.478472222225</v>
      </c>
      <c r="N24" s="48">
        <f t="shared" si="3"/>
        <v>0.1875</v>
      </c>
      <c r="O24" s="48">
        <f t="shared" si="4"/>
        <v>270</v>
      </c>
      <c r="P24" s="116">
        <v>1.0</v>
      </c>
      <c r="S24" s="48">
        <f t="shared" si="5"/>
        <v>0.0006944444394</v>
      </c>
      <c r="T24" s="110">
        <f t="shared" si="6"/>
        <v>0.9999999928</v>
      </c>
      <c r="W24" s="119">
        <v>12.0</v>
      </c>
    </row>
    <row r="25" ht="15.75" customHeight="1">
      <c r="A25" s="3">
        <v>0.44513888888888886</v>
      </c>
      <c r="F25" s="111">
        <f t="shared" si="1"/>
        <v>0</v>
      </c>
      <c r="G25" s="60">
        <f t="shared" si="2"/>
        <v>0</v>
      </c>
      <c r="J25" s="113">
        <v>1.0</v>
      </c>
      <c r="K25" s="114" t="s">
        <v>127</v>
      </c>
      <c r="L25" s="115">
        <v>45960.291666666664</v>
      </c>
      <c r="M25" s="115">
        <v>45960.42916666667</v>
      </c>
      <c r="N25" s="48">
        <f t="shared" si="3"/>
        <v>0.1375</v>
      </c>
      <c r="O25" s="48">
        <f t="shared" si="4"/>
        <v>198</v>
      </c>
      <c r="P25" s="116">
        <v>0.0</v>
      </c>
      <c r="S25" s="48">
        <f t="shared" si="5"/>
        <v>0</v>
      </c>
      <c r="T25" s="110">
        <f t="shared" si="6"/>
        <v>0</v>
      </c>
      <c r="W25" s="119">
        <v>1.0</v>
      </c>
    </row>
    <row r="26" ht="15.75" customHeight="1">
      <c r="A26" s="3">
        <v>0.44513888888888886</v>
      </c>
      <c r="F26" s="111">
        <f t="shared" si="1"/>
        <v>0.001388888889</v>
      </c>
      <c r="G26" s="60">
        <f t="shared" si="2"/>
        <v>2</v>
      </c>
      <c r="J26" s="113">
        <v>1.0</v>
      </c>
      <c r="K26" s="114" t="s">
        <v>127</v>
      </c>
      <c r="L26" s="115">
        <v>45960.291666666664</v>
      </c>
      <c r="M26" s="115">
        <v>45960.444444444445</v>
      </c>
      <c r="N26" s="48">
        <f t="shared" si="3"/>
        <v>0.1527777778</v>
      </c>
      <c r="O26" s="48">
        <f t="shared" si="4"/>
        <v>220</v>
      </c>
      <c r="P26" s="116">
        <v>0.0</v>
      </c>
      <c r="S26" s="48">
        <f t="shared" si="5"/>
        <v>0</v>
      </c>
      <c r="T26" s="110">
        <f t="shared" si="6"/>
        <v>0</v>
      </c>
      <c r="W26" s="119">
        <v>0.0</v>
      </c>
    </row>
    <row r="27" ht="15.75" customHeight="1">
      <c r="A27" s="3">
        <v>0.4465277777777778</v>
      </c>
      <c r="F27" s="111">
        <f t="shared" si="1"/>
        <v>0.002777777778</v>
      </c>
      <c r="G27" s="60">
        <f t="shared" si="2"/>
        <v>4</v>
      </c>
      <c r="J27" s="113">
        <v>1.0</v>
      </c>
      <c r="K27" s="114" t="s">
        <v>127</v>
      </c>
      <c r="L27" s="115">
        <v>45960.291666666664</v>
      </c>
      <c r="M27" s="115">
        <v>45960.42916666667</v>
      </c>
      <c r="N27" s="48">
        <f t="shared" si="3"/>
        <v>0.1375</v>
      </c>
      <c r="O27" s="48">
        <f t="shared" si="4"/>
        <v>198</v>
      </c>
      <c r="P27" s="116">
        <v>3.0</v>
      </c>
      <c r="S27" s="48">
        <f t="shared" si="5"/>
        <v>0.002083333333</v>
      </c>
      <c r="T27" s="110">
        <f t="shared" si="6"/>
        <v>2.999999999</v>
      </c>
      <c r="W27" s="119">
        <v>0.0</v>
      </c>
    </row>
    <row r="28" ht="15.75" customHeight="1">
      <c r="A28" s="3">
        <v>0.44930555555555557</v>
      </c>
      <c r="F28" s="111">
        <f t="shared" si="1"/>
        <v>0.002083333333</v>
      </c>
      <c r="G28" s="60">
        <f t="shared" si="2"/>
        <v>3</v>
      </c>
      <c r="J28" s="113">
        <v>1.0</v>
      </c>
      <c r="K28" s="114" t="s">
        <v>128</v>
      </c>
      <c r="L28" s="115">
        <v>45960.29375</v>
      </c>
      <c r="M28" s="115">
        <v>45960.40833333333</v>
      </c>
      <c r="N28" s="48">
        <f t="shared" si="3"/>
        <v>0.1145833333</v>
      </c>
      <c r="O28" s="48">
        <f t="shared" si="4"/>
        <v>165</v>
      </c>
      <c r="P28" s="116">
        <v>1.0</v>
      </c>
      <c r="S28" s="48">
        <f t="shared" si="5"/>
        <v>0.0006944444467</v>
      </c>
      <c r="T28" s="110">
        <f t="shared" si="6"/>
        <v>1.000000003</v>
      </c>
      <c r="W28" s="119">
        <v>3.0</v>
      </c>
    </row>
    <row r="29" ht="15.75" customHeight="1">
      <c r="A29" s="3">
        <v>0.4513888888888889</v>
      </c>
      <c r="F29" s="111">
        <f t="shared" si="1"/>
        <v>0</v>
      </c>
      <c r="G29" s="60">
        <f t="shared" si="2"/>
        <v>0</v>
      </c>
      <c r="J29" s="113">
        <v>1.0</v>
      </c>
      <c r="K29" s="114" t="s">
        <v>119</v>
      </c>
      <c r="L29" s="115">
        <v>45960.294444444444</v>
      </c>
      <c r="M29" s="115">
        <v>45960.42083333333</v>
      </c>
      <c r="N29" s="48">
        <f t="shared" si="3"/>
        <v>0.1263888889</v>
      </c>
      <c r="O29" s="48">
        <f t="shared" si="4"/>
        <v>182</v>
      </c>
      <c r="P29" s="116">
        <v>1.0</v>
      </c>
      <c r="S29" s="48">
        <f t="shared" si="5"/>
        <v>0.0006944444467</v>
      </c>
      <c r="T29" s="110">
        <f t="shared" si="6"/>
        <v>1.000000003</v>
      </c>
      <c r="W29" s="119">
        <v>1.0</v>
      </c>
    </row>
    <row r="30" ht="15.75" customHeight="1">
      <c r="A30" s="3">
        <v>0.4513888888888889</v>
      </c>
      <c r="F30" s="111">
        <f t="shared" si="1"/>
        <v>0.002083333333</v>
      </c>
      <c r="G30" s="60">
        <f t="shared" si="2"/>
        <v>3</v>
      </c>
      <c r="J30" s="113">
        <v>1.0</v>
      </c>
      <c r="K30" s="114" t="s">
        <v>128</v>
      </c>
      <c r="L30" s="115">
        <v>45960.29513888889</v>
      </c>
      <c r="M30" s="115">
        <v>45960.40833333333</v>
      </c>
      <c r="N30" s="48">
        <f t="shared" si="3"/>
        <v>0.1131944444</v>
      </c>
      <c r="O30" s="48">
        <f t="shared" si="4"/>
        <v>163</v>
      </c>
      <c r="P30" s="116">
        <v>4.0</v>
      </c>
      <c r="S30" s="48">
        <f t="shared" si="5"/>
        <v>0.00277777778</v>
      </c>
      <c r="T30" s="110">
        <f t="shared" si="6"/>
        <v>4.000000003</v>
      </c>
      <c r="W30" s="119">
        <v>1.0</v>
      </c>
    </row>
    <row r="31" ht="15.75" customHeight="1">
      <c r="A31" s="3">
        <v>0.4534722222222222</v>
      </c>
      <c r="F31" s="111">
        <f t="shared" si="1"/>
        <v>0.002777777778</v>
      </c>
      <c r="G31" s="60">
        <f t="shared" si="2"/>
        <v>4</v>
      </c>
      <c r="J31" s="113">
        <v>1.0</v>
      </c>
      <c r="K31" s="114" t="s">
        <v>128</v>
      </c>
      <c r="L31" s="115">
        <v>45960.29791666667</v>
      </c>
      <c r="M31" s="115">
        <v>45960.40833333333</v>
      </c>
      <c r="N31" s="48">
        <f t="shared" si="3"/>
        <v>0.1104166667</v>
      </c>
      <c r="O31" s="48">
        <f t="shared" si="4"/>
        <v>159</v>
      </c>
      <c r="P31" s="116">
        <v>1.0</v>
      </c>
      <c r="S31" s="48">
        <f t="shared" si="5"/>
        <v>0.0006944444394</v>
      </c>
      <c r="T31" s="110">
        <f t="shared" si="6"/>
        <v>0.9999999928</v>
      </c>
      <c r="W31" s="119">
        <v>4.0</v>
      </c>
    </row>
    <row r="32" ht="15.75" customHeight="1">
      <c r="A32" s="3">
        <v>0.45625</v>
      </c>
      <c r="F32" s="111">
        <f t="shared" si="1"/>
        <v>0.003472222222</v>
      </c>
      <c r="G32" s="60">
        <f t="shared" si="2"/>
        <v>5</v>
      </c>
      <c r="J32" s="113">
        <v>1.0</v>
      </c>
      <c r="K32" s="114" t="s">
        <v>128</v>
      </c>
      <c r="L32" s="115">
        <v>45960.29861111111</v>
      </c>
      <c r="M32" s="115">
        <v>45960.40833333333</v>
      </c>
      <c r="N32" s="48">
        <f t="shared" si="3"/>
        <v>0.1097222222</v>
      </c>
      <c r="O32" s="48">
        <f t="shared" si="4"/>
        <v>158</v>
      </c>
      <c r="P32" s="116">
        <v>1.0</v>
      </c>
      <c r="S32" s="48">
        <f t="shared" si="5"/>
        <v>0.0006944444467</v>
      </c>
      <c r="T32" s="110">
        <f t="shared" si="6"/>
        <v>1.000000003</v>
      </c>
      <c r="W32" s="119">
        <v>1.0</v>
      </c>
    </row>
    <row r="33" ht="15.75" customHeight="1">
      <c r="A33" s="3">
        <v>0.4597222222222222</v>
      </c>
      <c r="F33" s="111">
        <f t="shared" si="1"/>
        <v>0.0006944444444</v>
      </c>
      <c r="G33" s="60">
        <f t="shared" si="2"/>
        <v>1</v>
      </c>
      <c r="J33" s="113">
        <v>1.0</v>
      </c>
      <c r="K33" s="114" t="s">
        <v>128</v>
      </c>
      <c r="L33" s="115">
        <v>45960.299305555556</v>
      </c>
      <c r="M33" s="115">
        <v>45960.40833333333</v>
      </c>
      <c r="N33" s="48">
        <f t="shared" si="3"/>
        <v>0.1090277778</v>
      </c>
      <c r="O33" s="48">
        <f t="shared" si="4"/>
        <v>157</v>
      </c>
      <c r="P33" s="116">
        <v>1.0</v>
      </c>
      <c r="S33" s="48">
        <f t="shared" si="5"/>
        <v>0.0006944444467</v>
      </c>
      <c r="T33" s="110">
        <f t="shared" si="6"/>
        <v>1.000000003</v>
      </c>
      <c r="W33" s="119">
        <v>1.0</v>
      </c>
    </row>
    <row r="34" ht="15.75" customHeight="1">
      <c r="A34" s="3">
        <v>0.46041666666666664</v>
      </c>
      <c r="F34" s="111">
        <f t="shared" si="1"/>
        <v>0.001388888889</v>
      </c>
      <c r="G34" s="60">
        <f t="shared" si="2"/>
        <v>2</v>
      </c>
      <c r="J34" s="113">
        <v>1.0</v>
      </c>
      <c r="K34" s="114" t="s">
        <v>128</v>
      </c>
      <c r="L34" s="115">
        <v>45960.3</v>
      </c>
      <c r="M34" s="115">
        <v>45960.40833333333</v>
      </c>
      <c r="N34" s="48">
        <f t="shared" si="3"/>
        <v>0.1083333333</v>
      </c>
      <c r="O34" s="48">
        <f t="shared" si="4"/>
        <v>156</v>
      </c>
      <c r="P34" s="116">
        <v>1.0</v>
      </c>
      <c r="S34" s="48">
        <f t="shared" si="5"/>
        <v>0.0006944444394</v>
      </c>
      <c r="T34" s="110">
        <f t="shared" si="6"/>
        <v>0.9999999928</v>
      </c>
      <c r="W34" s="119">
        <v>1.0</v>
      </c>
    </row>
    <row r="35" ht="15.75" customHeight="1">
      <c r="A35" s="3">
        <v>0.4618055555555556</v>
      </c>
      <c r="F35" s="111">
        <f t="shared" si="1"/>
        <v>0.0006944444444</v>
      </c>
      <c r="G35" s="60">
        <f t="shared" si="2"/>
        <v>1</v>
      </c>
      <c r="J35" s="113">
        <v>1.0</v>
      </c>
      <c r="K35" s="114" t="s">
        <v>128</v>
      </c>
      <c r="L35" s="115">
        <v>45960.30069444444</v>
      </c>
      <c r="M35" s="115">
        <v>45960.427083333336</v>
      </c>
      <c r="N35" s="48">
        <f t="shared" si="3"/>
        <v>0.1263888889</v>
      </c>
      <c r="O35" s="48">
        <f t="shared" si="4"/>
        <v>182</v>
      </c>
      <c r="P35" s="116">
        <v>2.0</v>
      </c>
      <c r="S35" s="48">
        <f t="shared" si="5"/>
        <v>0.001388888893</v>
      </c>
      <c r="T35" s="110">
        <f t="shared" si="6"/>
        <v>2.000000007</v>
      </c>
      <c r="W35" s="119">
        <v>1.0</v>
      </c>
    </row>
    <row r="36" ht="15.75" customHeight="1">
      <c r="A36" s="3">
        <v>0.4625</v>
      </c>
      <c r="F36" s="111">
        <f t="shared" si="1"/>
        <v>0.001388888889</v>
      </c>
      <c r="G36" s="60">
        <f t="shared" si="2"/>
        <v>2</v>
      </c>
      <c r="J36" s="113">
        <v>1.0</v>
      </c>
      <c r="K36" s="114" t="s">
        <v>128</v>
      </c>
      <c r="L36" s="115">
        <v>45960.302083333336</v>
      </c>
      <c r="M36" s="115">
        <v>45960.40833333333</v>
      </c>
      <c r="N36" s="48">
        <f t="shared" si="3"/>
        <v>0.10625</v>
      </c>
      <c r="O36" s="48">
        <f t="shared" si="4"/>
        <v>153</v>
      </c>
      <c r="P36" s="116">
        <v>0.0</v>
      </c>
      <c r="S36" s="48">
        <f t="shared" si="5"/>
        <v>0</v>
      </c>
      <c r="T36" s="110">
        <f t="shared" si="6"/>
        <v>0</v>
      </c>
      <c r="W36" s="119">
        <v>2.0</v>
      </c>
    </row>
    <row r="37" ht="15.75" customHeight="1">
      <c r="A37" s="3">
        <v>0.4638888888888889</v>
      </c>
      <c r="F37" s="111">
        <f t="shared" si="1"/>
        <v>0</v>
      </c>
      <c r="G37" s="60">
        <f t="shared" si="2"/>
        <v>0</v>
      </c>
      <c r="J37" s="113">
        <v>1.0</v>
      </c>
      <c r="K37" s="114" t="s">
        <v>128</v>
      </c>
      <c r="L37" s="115">
        <v>45960.302083333336</v>
      </c>
      <c r="M37" s="115">
        <v>45960.40833333333</v>
      </c>
      <c r="N37" s="48">
        <f t="shared" si="3"/>
        <v>0.10625</v>
      </c>
      <c r="O37" s="48">
        <f t="shared" si="4"/>
        <v>153</v>
      </c>
      <c r="P37" s="116">
        <v>1.0</v>
      </c>
      <c r="S37" s="48">
        <f t="shared" si="5"/>
        <v>0.0006944444394</v>
      </c>
      <c r="T37" s="110">
        <f t="shared" si="6"/>
        <v>0.9999999928</v>
      </c>
      <c r="W37" s="119">
        <v>0.0</v>
      </c>
    </row>
    <row r="38" ht="15.75" customHeight="1">
      <c r="A38" s="3">
        <v>0.4638888888888889</v>
      </c>
      <c r="F38" s="111">
        <f t="shared" si="1"/>
        <v>0.002083333333</v>
      </c>
      <c r="G38" s="60">
        <f t="shared" si="2"/>
        <v>3</v>
      </c>
      <c r="J38" s="113">
        <v>1.0</v>
      </c>
      <c r="K38" s="114" t="s">
        <v>128</v>
      </c>
      <c r="L38" s="115">
        <v>45960.302777777775</v>
      </c>
      <c r="M38" s="115">
        <v>45960.40833333333</v>
      </c>
      <c r="N38" s="48">
        <f t="shared" si="3"/>
        <v>0.1055555556</v>
      </c>
      <c r="O38" s="48">
        <f t="shared" si="4"/>
        <v>152</v>
      </c>
      <c r="P38" s="116">
        <v>0.0</v>
      </c>
      <c r="S38" s="48">
        <f t="shared" si="5"/>
        <v>0</v>
      </c>
      <c r="T38" s="110">
        <f t="shared" si="6"/>
        <v>0</v>
      </c>
      <c r="W38" s="119">
        <v>1.0</v>
      </c>
    </row>
    <row r="39" ht="15.75" customHeight="1">
      <c r="A39" s="3">
        <v>0.46597222222222223</v>
      </c>
      <c r="F39" s="111">
        <f t="shared" si="1"/>
        <v>0.003472222222</v>
      </c>
      <c r="G39" s="60">
        <f t="shared" si="2"/>
        <v>5</v>
      </c>
      <c r="J39" s="113">
        <v>1.0</v>
      </c>
      <c r="K39" s="114" t="s">
        <v>128</v>
      </c>
      <c r="L39" s="115">
        <v>45960.302777777775</v>
      </c>
      <c r="M39" s="115">
        <v>45960.40833333333</v>
      </c>
      <c r="N39" s="48">
        <f t="shared" si="3"/>
        <v>0.1055555556</v>
      </c>
      <c r="O39" s="48">
        <f t="shared" si="4"/>
        <v>152</v>
      </c>
      <c r="P39" s="116">
        <v>1.0</v>
      </c>
      <c r="S39" s="48">
        <f t="shared" si="5"/>
        <v>0.0006944444467</v>
      </c>
      <c r="T39" s="110">
        <f t="shared" si="6"/>
        <v>1.000000003</v>
      </c>
      <c r="W39" s="119">
        <v>0.0</v>
      </c>
    </row>
    <row r="40" ht="15.75" customHeight="1">
      <c r="A40" s="3">
        <v>0.46944444444444444</v>
      </c>
      <c r="J40" s="113">
        <v>1.0</v>
      </c>
      <c r="K40" s="114" t="s">
        <v>128</v>
      </c>
      <c r="L40" s="115">
        <v>45960.30347222222</v>
      </c>
      <c r="M40" s="115">
        <v>45960.40833333333</v>
      </c>
      <c r="N40" s="48">
        <f t="shared" si="3"/>
        <v>0.1048611111</v>
      </c>
      <c r="O40" s="48">
        <f t="shared" si="4"/>
        <v>151</v>
      </c>
      <c r="P40" s="116">
        <v>0.0</v>
      </c>
      <c r="S40" s="48">
        <f t="shared" si="5"/>
        <v>0</v>
      </c>
      <c r="T40" s="110">
        <f t="shared" si="6"/>
        <v>0</v>
      </c>
      <c r="W40" s="119">
        <v>1.0</v>
      </c>
    </row>
    <row r="41" ht="15.75" customHeight="1">
      <c r="G41" s="60">
        <f>median(G2:G39)</f>
        <v>3</v>
      </c>
      <c r="J41" s="113">
        <v>1.0</v>
      </c>
      <c r="K41" s="114" t="s">
        <v>128</v>
      </c>
      <c r="L41" s="115">
        <v>45960.30347222222</v>
      </c>
      <c r="M41" s="115">
        <v>45960.40833333333</v>
      </c>
      <c r="N41" s="48">
        <f t="shared" si="3"/>
        <v>0.1048611111</v>
      </c>
      <c r="O41" s="48">
        <f t="shared" si="4"/>
        <v>151</v>
      </c>
      <c r="P41" s="116">
        <v>2.0</v>
      </c>
      <c r="S41" s="48">
        <f t="shared" si="5"/>
        <v>0.001388888886</v>
      </c>
      <c r="T41" s="110">
        <f t="shared" si="6"/>
        <v>1.999999996</v>
      </c>
      <c r="W41" s="119">
        <v>0.0</v>
      </c>
    </row>
    <row r="42" ht="15.75" customHeight="1">
      <c r="J42" s="113">
        <v>1.0</v>
      </c>
      <c r="K42" s="114" t="s">
        <v>129</v>
      </c>
      <c r="L42" s="115">
        <v>45960.30486111111</v>
      </c>
      <c r="M42" s="115">
        <v>45960.42361111111</v>
      </c>
      <c r="N42" s="48">
        <f t="shared" si="3"/>
        <v>0.11875</v>
      </c>
      <c r="O42" s="48">
        <f t="shared" si="4"/>
        <v>171</v>
      </c>
      <c r="P42" s="116">
        <v>1.0</v>
      </c>
      <c r="S42" s="48">
        <f t="shared" si="5"/>
        <v>0.0006944444467</v>
      </c>
      <c r="T42" s="110">
        <f t="shared" si="6"/>
        <v>1.000000003</v>
      </c>
      <c r="W42" s="119">
        <v>2.0</v>
      </c>
    </row>
    <row r="43" ht="15.75" customHeight="1">
      <c r="J43" s="113">
        <v>1.0</v>
      </c>
      <c r="K43" s="114" t="s">
        <v>129</v>
      </c>
      <c r="L43" s="115">
        <v>45960.305555555555</v>
      </c>
      <c r="M43" s="115">
        <v>45960.41180555556</v>
      </c>
      <c r="N43" s="48">
        <f t="shared" si="3"/>
        <v>0.10625</v>
      </c>
      <c r="O43" s="48">
        <f t="shared" si="4"/>
        <v>153</v>
      </c>
      <c r="P43" s="116">
        <v>6.0</v>
      </c>
      <c r="S43" s="48">
        <f t="shared" si="5"/>
        <v>0.004166666666</v>
      </c>
      <c r="T43" s="110">
        <f t="shared" si="6"/>
        <v>5.999999999</v>
      </c>
      <c r="W43" s="119">
        <v>1.0</v>
      </c>
    </row>
    <row r="44" ht="15.75" customHeight="1">
      <c r="J44" s="113">
        <v>1.0</v>
      </c>
      <c r="K44" s="114" t="s">
        <v>124</v>
      </c>
      <c r="L44" s="115">
        <v>45960.30972222222</v>
      </c>
      <c r="M44" s="115">
        <v>45960.604166666664</v>
      </c>
      <c r="N44" s="48">
        <f t="shared" si="3"/>
        <v>0.2944444444</v>
      </c>
      <c r="O44" s="48">
        <f t="shared" si="4"/>
        <v>424</v>
      </c>
      <c r="P44" s="116">
        <v>4.0</v>
      </c>
      <c r="S44" s="48">
        <f t="shared" si="5"/>
        <v>0.00277777778</v>
      </c>
      <c r="T44" s="110">
        <f t="shared" si="6"/>
        <v>4.000000003</v>
      </c>
      <c r="W44" s="119">
        <v>6.0</v>
      </c>
    </row>
    <row r="45" ht="15.75" customHeight="1">
      <c r="J45" s="113">
        <v>1.0</v>
      </c>
      <c r="K45" s="114" t="s">
        <v>128</v>
      </c>
      <c r="L45" s="115">
        <v>45960.3125</v>
      </c>
      <c r="M45" s="115">
        <v>45960.40833333333</v>
      </c>
      <c r="N45" s="48">
        <f t="shared" si="3"/>
        <v>0.09583333333</v>
      </c>
      <c r="O45" s="48">
        <f t="shared" si="4"/>
        <v>138</v>
      </c>
      <c r="P45" s="116">
        <v>0.0</v>
      </c>
      <c r="S45" s="48">
        <f t="shared" si="5"/>
        <v>0</v>
      </c>
      <c r="T45" s="110">
        <f t="shared" si="6"/>
        <v>0</v>
      </c>
      <c r="W45" s="119">
        <v>4.0</v>
      </c>
    </row>
    <row r="46" ht="15.75" customHeight="1">
      <c r="J46" s="113">
        <v>1.0</v>
      </c>
      <c r="K46" s="114" t="s">
        <v>130</v>
      </c>
      <c r="L46" s="115">
        <v>45960.3125</v>
      </c>
      <c r="M46" s="115">
        <v>45960.424305555556</v>
      </c>
      <c r="N46" s="48">
        <f t="shared" si="3"/>
        <v>0.1118055556</v>
      </c>
      <c r="O46" s="48">
        <f t="shared" si="4"/>
        <v>161</v>
      </c>
      <c r="P46" s="116">
        <v>1.0</v>
      </c>
      <c r="S46" s="48">
        <f t="shared" si="5"/>
        <v>0.0006944444467</v>
      </c>
      <c r="T46" s="110">
        <f t="shared" si="6"/>
        <v>1.000000003</v>
      </c>
      <c r="W46" s="119">
        <v>0.0</v>
      </c>
    </row>
    <row r="47" ht="15.75" customHeight="1">
      <c r="J47" s="113">
        <v>1.0</v>
      </c>
      <c r="K47" s="114" t="s">
        <v>129</v>
      </c>
      <c r="L47" s="115">
        <v>45960.31319444445</v>
      </c>
      <c r="M47" s="115">
        <v>45960.39027777778</v>
      </c>
      <c r="N47" s="48">
        <f t="shared" si="3"/>
        <v>0.07708333333</v>
      </c>
      <c r="O47" s="48">
        <f t="shared" si="4"/>
        <v>111</v>
      </c>
      <c r="P47" s="116">
        <v>1.0</v>
      </c>
      <c r="S47" s="48">
        <f t="shared" si="5"/>
        <v>0.0006944444394</v>
      </c>
      <c r="T47" s="110">
        <f t="shared" si="6"/>
        <v>0.9999999928</v>
      </c>
      <c r="W47" s="119">
        <v>1.0</v>
      </c>
    </row>
    <row r="48" ht="15.75" customHeight="1">
      <c r="J48" s="113">
        <v>1.0</v>
      </c>
      <c r="K48" s="114" t="s">
        <v>128</v>
      </c>
      <c r="L48" s="115">
        <v>45960.313888888886</v>
      </c>
      <c r="M48" s="115">
        <v>45960.40902777778</v>
      </c>
      <c r="N48" s="48">
        <f t="shared" si="3"/>
        <v>0.09513888889</v>
      </c>
      <c r="O48" s="48">
        <f t="shared" si="4"/>
        <v>137</v>
      </c>
      <c r="P48" s="116">
        <v>1.0</v>
      </c>
      <c r="S48" s="48">
        <f t="shared" si="5"/>
        <v>0.0006944444467</v>
      </c>
      <c r="T48" s="110">
        <f t="shared" si="6"/>
        <v>1.000000003</v>
      </c>
      <c r="W48" s="119">
        <v>1.0</v>
      </c>
    </row>
    <row r="49" ht="15.75" customHeight="1">
      <c r="J49" s="113">
        <v>1.0</v>
      </c>
      <c r="K49" s="114" t="s">
        <v>128</v>
      </c>
      <c r="L49" s="115">
        <v>45960.31458333333</v>
      </c>
      <c r="M49" s="115">
        <v>45960.40902777778</v>
      </c>
      <c r="N49" s="48">
        <f t="shared" si="3"/>
        <v>0.09444444445</v>
      </c>
      <c r="O49" s="48">
        <f t="shared" si="4"/>
        <v>136</v>
      </c>
      <c r="P49" s="116">
        <v>2.0</v>
      </c>
      <c r="S49" s="48">
        <f t="shared" si="5"/>
        <v>0.001388888886</v>
      </c>
      <c r="T49" s="110">
        <f t="shared" si="6"/>
        <v>1.999999996</v>
      </c>
      <c r="W49" s="119">
        <v>1.0</v>
      </c>
    </row>
    <row r="50" ht="15.75" customHeight="1">
      <c r="J50" s="113">
        <v>1.0</v>
      </c>
      <c r="K50" s="114" t="s">
        <v>128</v>
      </c>
      <c r="L50" s="115">
        <v>45960.31597222222</v>
      </c>
      <c r="M50" s="115">
        <v>45960.40902777778</v>
      </c>
      <c r="N50" s="48">
        <f t="shared" si="3"/>
        <v>0.09305555556</v>
      </c>
      <c r="O50" s="48">
        <f t="shared" si="4"/>
        <v>134</v>
      </c>
      <c r="P50" s="116">
        <v>0.0</v>
      </c>
      <c r="S50" s="48">
        <f t="shared" si="5"/>
        <v>0</v>
      </c>
      <c r="T50" s="110">
        <f t="shared" si="6"/>
        <v>0</v>
      </c>
      <c r="W50" s="119">
        <v>2.0</v>
      </c>
    </row>
    <row r="51" ht="15.75" customHeight="1">
      <c r="J51" s="113">
        <v>1.0</v>
      </c>
      <c r="K51" s="114" t="s">
        <v>128</v>
      </c>
      <c r="L51" s="115">
        <v>45960.31597222222</v>
      </c>
      <c r="M51" s="115">
        <v>45960.40902777778</v>
      </c>
      <c r="N51" s="48">
        <f t="shared" si="3"/>
        <v>0.09305555556</v>
      </c>
      <c r="O51" s="48">
        <f t="shared" si="4"/>
        <v>134</v>
      </c>
      <c r="P51" s="116">
        <v>3.0</v>
      </c>
      <c r="S51" s="48">
        <f t="shared" si="5"/>
        <v>0.00208333334</v>
      </c>
      <c r="T51" s="110">
        <f t="shared" si="6"/>
        <v>3.00000001</v>
      </c>
      <c r="W51" s="119">
        <v>0.0</v>
      </c>
    </row>
    <row r="52" ht="15.75" customHeight="1">
      <c r="J52" s="113">
        <v>1.0</v>
      </c>
      <c r="K52" s="114" t="s">
        <v>131</v>
      </c>
      <c r="L52" s="115">
        <v>45960.31805555556</v>
      </c>
      <c r="M52" s="115">
        <v>45960.42013888889</v>
      </c>
      <c r="N52" s="48">
        <f t="shared" si="3"/>
        <v>0.1020833333</v>
      </c>
      <c r="O52" s="48">
        <f t="shared" si="4"/>
        <v>147</v>
      </c>
      <c r="P52" s="116">
        <v>1.0</v>
      </c>
      <c r="S52" s="48">
        <f t="shared" si="5"/>
        <v>0.0006944444394</v>
      </c>
      <c r="T52" s="110">
        <f t="shared" si="6"/>
        <v>0.9999999928</v>
      </c>
      <c r="W52" s="119">
        <v>3.0</v>
      </c>
    </row>
    <row r="53" ht="15.75" customHeight="1">
      <c r="J53" s="113">
        <v>1.0</v>
      </c>
      <c r="K53" s="114" t="s">
        <v>118</v>
      </c>
      <c r="L53" s="115">
        <v>45960.31875</v>
      </c>
      <c r="M53" s="115">
        <v>45960.52291666667</v>
      </c>
      <c r="N53" s="48">
        <f t="shared" si="3"/>
        <v>0.2041666667</v>
      </c>
      <c r="O53" s="48">
        <f t="shared" si="4"/>
        <v>294</v>
      </c>
      <c r="P53" s="116">
        <v>0.0</v>
      </c>
      <c r="S53" s="48">
        <f t="shared" si="5"/>
        <v>0</v>
      </c>
      <c r="T53" s="110">
        <f t="shared" si="6"/>
        <v>0</v>
      </c>
      <c r="W53" s="119">
        <v>1.0</v>
      </c>
    </row>
    <row r="54" ht="15.75" customHeight="1">
      <c r="J54" s="113">
        <v>1.0</v>
      </c>
      <c r="K54" s="114" t="s">
        <v>119</v>
      </c>
      <c r="L54" s="115">
        <v>45960.31875</v>
      </c>
      <c r="M54" s="115">
        <v>45960.39027777778</v>
      </c>
      <c r="N54" s="48">
        <f t="shared" si="3"/>
        <v>0.07152777778</v>
      </c>
      <c r="O54" s="48">
        <f t="shared" si="4"/>
        <v>103</v>
      </c>
      <c r="P54" s="116">
        <v>8.0</v>
      </c>
      <c r="S54" s="48">
        <f t="shared" si="5"/>
        <v>0.005555555559</v>
      </c>
      <c r="T54" s="110">
        <f t="shared" si="6"/>
        <v>8.000000005</v>
      </c>
      <c r="W54" s="119">
        <v>0.0</v>
      </c>
    </row>
    <row r="55" ht="15.75" customHeight="1">
      <c r="J55" s="113">
        <v>1.0</v>
      </c>
      <c r="K55" s="114" t="s">
        <v>132</v>
      </c>
      <c r="L55" s="115">
        <v>45960.32430555556</v>
      </c>
      <c r="M55" s="115">
        <v>45960.427083333336</v>
      </c>
      <c r="N55" s="48">
        <f t="shared" si="3"/>
        <v>0.1027777778</v>
      </c>
      <c r="O55" s="48">
        <f t="shared" si="4"/>
        <v>148</v>
      </c>
      <c r="P55" s="116">
        <v>2.0</v>
      </c>
      <c r="S55" s="48">
        <f t="shared" si="5"/>
        <v>0.001388888886</v>
      </c>
      <c r="T55" s="110">
        <f t="shared" si="6"/>
        <v>1.999999996</v>
      </c>
      <c r="W55" s="119">
        <v>8.0</v>
      </c>
    </row>
    <row r="56" ht="15.75" customHeight="1">
      <c r="J56" s="113">
        <v>1.0</v>
      </c>
      <c r="K56" s="114" t="s">
        <v>133</v>
      </c>
      <c r="L56" s="115">
        <v>45960.325694444444</v>
      </c>
      <c r="M56" s="115">
        <v>45960.493055555555</v>
      </c>
      <c r="N56" s="48">
        <f t="shared" si="3"/>
        <v>0.1673611111</v>
      </c>
      <c r="O56" s="48">
        <f t="shared" si="4"/>
        <v>241</v>
      </c>
      <c r="P56" s="116">
        <v>0.0</v>
      </c>
      <c r="S56" s="48">
        <f t="shared" si="5"/>
        <v>0</v>
      </c>
      <c r="T56" s="110">
        <f t="shared" si="6"/>
        <v>0</v>
      </c>
      <c r="W56" s="119">
        <v>2.0</v>
      </c>
    </row>
    <row r="57" ht="15.75" customHeight="1">
      <c r="J57" s="113">
        <v>1.0</v>
      </c>
      <c r="K57" s="114" t="s">
        <v>134</v>
      </c>
      <c r="L57" s="115">
        <v>45960.325694444444</v>
      </c>
      <c r="M57" s="115">
        <v>45960.42638888889</v>
      </c>
      <c r="N57" s="48">
        <f t="shared" si="3"/>
        <v>0.1006944444</v>
      </c>
      <c r="O57" s="48">
        <f t="shared" si="4"/>
        <v>145</v>
      </c>
      <c r="P57" s="116">
        <v>1.0</v>
      </c>
      <c r="S57" s="48">
        <f t="shared" si="5"/>
        <v>0.0006944444467</v>
      </c>
      <c r="T57" s="110">
        <f t="shared" si="6"/>
        <v>1.000000003</v>
      </c>
      <c r="W57" s="119">
        <v>0.0</v>
      </c>
    </row>
    <row r="58" ht="15.75" customHeight="1">
      <c r="J58" s="113">
        <v>1.0</v>
      </c>
      <c r="K58" s="114" t="s">
        <v>128</v>
      </c>
      <c r="L58" s="115">
        <v>45960.32638888889</v>
      </c>
      <c r="M58" s="115">
        <v>45960.40902777778</v>
      </c>
      <c r="N58" s="48">
        <f t="shared" si="3"/>
        <v>0.08263888889</v>
      </c>
      <c r="O58" s="48">
        <f t="shared" si="4"/>
        <v>119</v>
      </c>
      <c r="P58" s="116">
        <v>1.0</v>
      </c>
      <c r="S58" s="48">
        <f t="shared" si="5"/>
        <v>0.0006944444394</v>
      </c>
      <c r="T58" s="110">
        <f t="shared" si="6"/>
        <v>0.9999999928</v>
      </c>
      <c r="W58" s="119">
        <v>1.0</v>
      </c>
    </row>
    <row r="59" ht="15.75" customHeight="1">
      <c r="J59" s="113">
        <v>1.0</v>
      </c>
      <c r="K59" s="114" t="s">
        <v>128</v>
      </c>
      <c r="L59" s="115">
        <v>45960.32708333333</v>
      </c>
      <c r="M59" s="115">
        <v>45960.40902777778</v>
      </c>
      <c r="N59" s="48">
        <f t="shared" si="3"/>
        <v>0.08194444445</v>
      </c>
      <c r="O59" s="48">
        <f t="shared" si="4"/>
        <v>118</v>
      </c>
      <c r="P59" s="116">
        <v>4.0</v>
      </c>
      <c r="S59" s="48">
        <f t="shared" si="5"/>
        <v>0.00277777778</v>
      </c>
      <c r="T59" s="110">
        <f t="shared" si="6"/>
        <v>4.000000003</v>
      </c>
      <c r="W59" s="119">
        <v>1.0</v>
      </c>
    </row>
    <row r="60" ht="15.75" customHeight="1">
      <c r="J60" s="113">
        <v>1.0</v>
      </c>
      <c r="K60" s="114" t="s">
        <v>128</v>
      </c>
      <c r="L60" s="115">
        <v>45960.32986111111</v>
      </c>
      <c r="M60" s="115">
        <v>45960.40902777778</v>
      </c>
      <c r="N60" s="48">
        <f t="shared" si="3"/>
        <v>0.07916666667</v>
      </c>
      <c r="O60" s="48">
        <f t="shared" si="4"/>
        <v>114</v>
      </c>
      <c r="P60" s="116">
        <v>2.0</v>
      </c>
      <c r="S60" s="48">
        <f t="shared" si="5"/>
        <v>0.001388888893</v>
      </c>
      <c r="T60" s="110">
        <f t="shared" si="6"/>
        <v>2.000000007</v>
      </c>
      <c r="W60" s="119">
        <v>4.0</v>
      </c>
    </row>
    <row r="61" ht="15.75" customHeight="1">
      <c r="J61" s="113">
        <v>1.0</v>
      </c>
      <c r="K61" s="114" t="s">
        <v>135</v>
      </c>
      <c r="L61" s="115">
        <v>45960.33125</v>
      </c>
      <c r="M61" s="115">
        <v>45960.427083333336</v>
      </c>
      <c r="N61" s="48">
        <f t="shared" si="3"/>
        <v>0.09583333333</v>
      </c>
      <c r="O61" s="48">
        <f t="shared" si="4"/>
        <v>138</v>
      </c>
      <c r="P61" s="116">
        <v>2.0</v>
      </c>
      <c r="S61" s="48">
        <f t="shared" si="5"/>
        <v>0.001388888886</v>
      </c>
      <c r="T61" s="110">
        <f t="shared" si="6"/>
        <v>1.999999996</v>
      </c>
      <c r="W61" s="119">
        <v>2.0</v>
      </c>
    </row>
    <row r="62" ht="15.75" customHeight="1">
      <c r="J62" s="113">
        <v>1.0</v>
      </c>
      <c r="K62" s="114" t="s">
        <v>128</v>
      </c>
      <c r="L62" s="115">
        <v>45960.33263888889</v>
      </c>
      <c r="M62" s="115">
        <v>45960.40902777778</v>
      </c>
      <c r="N62" s="48">
        <f t="shared" si="3"/>
        <v>0.07638888889</v>
      </c>
      <c r="O62" s="48">
        <f t="shared" si="4"/>
        <v>110</v>
      </c>
      <c r="P62" s="116">
        <v>0.0</v>
      </c>
      <c r="S62" s="48">
        <f t="shared" si="5"/>
        <v>0</v>
      </c>
      <c r="T62" s="110">
        <f t="shared" si="6"/>
        <v>0</v>
      </c>
      <c r="W62" s="119">
        <v>2.0</v>
      </c>
    </row>
    <row r="63" ht="15.75" customHeight="1">
      <c r="J63" s="113">
        <v>1.0</v>
      </c>
      <c r="K63" s="114" t="s">
        <v>112</v>
      </c>
      <c r="L63" s="115">
        <v>45960.33263888889</v>
      </c>
      <c r="M63" s="115">
        <v>45960.42222222222</v>
      </c>
      <c r="N63" s="48">
        <f t="shared" si="3"/>
        <v>0.08958333333</v>
      </c>
      <c r="O63" s="48">
        <f t="shared" si="4"/>
        <v>129</v>
      </c>
      <c r="P63" s="116">
        <v>1.0</v>
      </c>
      <c r="S63" s="48">
        <f t="shared" si="5"/>
        <v>0.0006944444467</v>
      </c>
      <c r="T63" s="110">
        <f t="shared" si="6"/>
        <v>1.000000003</v>
      </c>
      <c r="W63" s="119">
        <v>0.0</v>
      </c>
    </row>
    <row r="64" ht="15.75" customHeight="1">
      <c r="J64" s="113">
        <v>1.0</v>
      </c>
      <c r="K64" s="114" t="s">
        <v>129</v>
      </c>
      <c r="L64" s="115">
        <v>45960.333333333336</v>
      </c>
      <c r="M64" s="115">
        <v>45960.46111111111</v>
      </c>
      <c r="N64" s="48">
        <f t="shared" si="3"/>
        <v>0.1277777778</v>
      </c>
      <c r="O64" s="48">
        <f t="shared" si="4"/>
        <v>184</v>
      </c>
      <c r="P64" s="116">
        <v>2.0</v>
      </c>
      <c r="S64" s="48">
        <f t="shared" si="5"/>
        <v>0.001388888886</v>
      </c>
      <c r="T64" s="110">
        <f t="shared" si="6"/>
        <v>1.999999996</v>
      </c>
      <c r="W64" s="119">
        <v>1.0</v>
      </c>
    </row>
    <row r="65" ht="15.75" customHeight="1">
      <c r="J65" s="113">
        <v>1.0</v>
      </c>
      <c r="K65" s="114" t="s">
        <v>136</v>
      </c>
      <c r="L65" s="115">
        <v>45960.33472222222</v>
      </c>
      <c r="M65" s="115">
        <v>45960.604166666664</v>
      </c>
      <c r="N65" s="48">
        <f t="shared" si="3"/>
        <v>0.2694444444</v>
      </c>
      <c r="O65" s="48">
        <f t="shared" si="4"/>
        <v>388</v>
      </c>
      <c r="P65" s="116">
        <v>3.0</v>
      </c>
      <c r="S65" s="48">
        <f t="shared" si="5"/>
        <v>0.002083333333</v>
      </c>
      <c r="T65" s="110">
        <f t="shared" si="6"/>
        <v>2.999999999</v>
      </c>
      <c r="W65" s="119">
        <v>2.0</v>
      </c>
    </row>
    <row r="66" ht="15.75" customHeight="1">
      <c r="J66" s="113">
        <v>1.0</v>
      </c>
      <c r="K66" s="114" t="s">
        <v>112</v>
      </c>
      <c r="L66" s="115">
        <v>45960.336805555555</v>
      </c>
      <c r="M66" s="115">
        <v>45960.461805555555</v>
      </c>
      <c r="N66" s="48">
        <f t="shared" si="3"/>
        <v>0.125</v>
      </c>
      <c r="O66" s="48">
        <f t="shared" si="4"/>
        <v>180</v>
      </c>
      <c r="P66" s="116">
        <v>1.0</v>
      </c>
      <c r="S66" s="48">
        <f t="shared" si="5"/>
        <v>0.0006944444467</v>
      </c>
      <c r="T66" s="110">
        <f t="shared" si="6"/>
        <v>1.000000003</v>
      </c>
      <c r="W66" s="119">
        <v>3.0</v>
      </c>
    </row>
    <row r="67" ht="15.75" customHeight="1">
      <c r="J67" s="113">
        <v>1.0</v>
      </c>
      <c r="K67" s="114" t="s">
        <v>128</v>
      </c>
      <c r="L67" s="115">
        <v>45960.3375</v>
      </c>
      <c r="M67" s="115">
        <v>45960.40902777778</v>
      </c>
      <c r="N67" s="48">
        <f t="shared" si="3"/>
        <v>0.07152777778</v>
      </c>
      <c r="O67" s="48">
        <f t="shared" si="4"/>
        <v>103</v>
      </c>
      <c r="P67" s="116">
        <v>2.0</v>
      </c>
      <c r="S67" s="48">
        <f t="shared" si="5"/>
        <v>0.001388888886</v>
      </c>
      <c r="T67" s="110">
        <f t="shared" si="6"/>
        <v>1.999999996</v>
      </c>
      <c r="W67" s="119">
        <v>1.0</v>
      </c>
    </row>
    <row r="68" ht="15.75" customHeight="1">
      <c r="J68" s="113">
        <v>1.0</v>
      </c>
      <c r="K68" s="114" t="s">
        <v>134</v>
      </c>
      <c r="L68" s="115">
        <v>45960.33888888889</v>
      </c>
      <c r="M68" s="115">
        <v>45960.46319444444</v>
      </c>
      <c r="N68" s="48">
        <f t="shared" si="3"/>
        <v>0.1243055556</v>
      </c>
      <c r="O68" s="48">
        <f t="shared" si="4"/>
        <v>179</v>
      </c>
      <c r="P68" s="116">
        <v>5.0</v>
      </c>
      <c r="S68" s="48">
        <f t="shared" si="5"/>
        <v>0.003472222226</v>
      </c>
      <c r="T68" s="110">
        <f t="shared" si="6"/>
        <v>5.000000006</v>
      </c>
      <c r="W68" s="119">
        <v>2.0</v>
      </c>
    </row>
    <row r="69" ht="15.75" customHeight="1">
      <c r="J69" s="113">
        <v>1.0</v>
      </c>
      <c r="K69" s="114" t="s">
        <v>136</v>
      </c>
      <c r="L69" s="115">
        <v>45960.342361111114</v>
      </c>
      <c r="M69" s="115">
        <v>45960.48125</v>
      </c>
      <c r="N69" s="48">
        <f t="shared" si="3"/>
        <v>0.1388888889</v>
      </c>
      <c r="O69" s="48">
        <f t="shared" si="4"/>
        <v>200</v>
      </c>
      <c r="P69" s="116">
        <v>2.0</v>
      </c>
      <c r="S69" s="48">
        <f t="shared" si="5"/>
        <v>0.001388888886</v>
      </c>
      <c r="T69" s="110">
        <f t="shared" si="6"/>
        <v>1.999999996</v>
      </c>
      <c r="W69" s="119">
        <v>5.0</v>
      </c>
    </row>
    <row r="70" ht="15.75" customHeight="1">
      <c r="J70" s="113">
        <v>1.0</v>
      </c>
      <c r="K70" s="114" t="s">
        <v>129</v>
      </c>
      <c r="L70" s="115">
        <v>45960.34375</v>
      </c>
      <c r="M70" s="115">
        <v>45960.424305555556</v>
      </c>
      <c r="N70" s="48">
        <f t="shared" si="3"/>
        <v>0.08055555556</v>
      </c>
      <c r="O70" s="48">
        <f t="shared" si="4"/>
        <v>116</v>
      </c>
      <c r="P70" s="116">
        <v>2.0</v>
      </c>
      <c r="S70" s="48">
        <f t="shared" si="5"/>
        <v>0.001388888886</v>
      </c>
      <c r="T70" s="110">
        <f t="shared" si="6"/>
        <v>1.999999996</v>
      </c>
      <c r="W70" s="119">
        <v>2.0</v>
      </c>
    </row>
    <row r="71" ht="15.75" customHeight="1">
      <c r="J71" s="113">
        <v>1.0</v>
      </c>
      <c r="K71" s="114" t="s">
        <v>128</v>
      </c>
      <c r="L71" s="115">
        <v>45960.345138888886</v>
      </c>
      <c r="M71" s="115">
        <v>45960.40902777778</v>
      </c>
      <c r="N71" s="48">
        <f t="shared" si="3"/>
        <v>0.06388888889</v>
      </c>
      <c r="O71" s="48">
        <f t="shared" si="4"/>
        <v>92.00000001</v>
      </c>
      <c r="P71" s="116">
        <v>0.0</v>
      </c>
      <c r="S71" s="48">
        <f t="shared" si="5"/>
        <v>0</v>
      </c>
      <c r="T71" s="110">
        <f t="shared" si="6"/>
        <v>0</v>
      </c>
      <c r="W71" s="119">
        <v>2.0</v>
      </c>
    </row>
    <row r="72" ht="15.75" customHeight="1">
      <c r="J72" s="113">
        <v>1.0</v>
      </c>
      <c r="K72" s="114" t="s">
        <v>132</v>
      </c>
      <c r="L72" s="115">
        <v>45960.345138888886</v>
      </c>
      <c r="M72" s="115">
        <v>45960.481944444444</v>
      </c>
      <c r="N72" s="48">
        <f t="shared" si="3"/>
        <v>0.1368055556</v>
      </c>
      <c r="O72" s="48">
        <f t="shared" si="4"/>
        <v>197</v>
      </c>
      <c r="P72" s="116">
        <v>0.0</v>
      </c>
      <c r="S72" s="48">
        <f t="shared" si="5"/>
        <v>0</v>
      </c>
      <c r="T72" s="110">
        <f t="shared" si="6"/>
        <v>0</v>
      </c>
      <c r="W72" s="119">
        <v>0.0</v>
      </c>
    </row>
    <row r="73" ht="15.75" customHeight="1">
      <c r="J73" s="113">
        <v>1.0</v>
      </c>
      <c r="K73" s="114" t="s">
        <v>133</v>
      </c>
      <c r="L73" s="115">
        <v>45960.345138888886</v>
      </c>
      <c r="M73" s="115">
        <v>45960.69583333333</v>
      </c>
      <c r="N73" s="48">
        <f t="shared" si="3"/>
        <v>0.3506944444</v>
      </c>
      <c r="O73" s="48">
        <f t="shared" si="4"/>
        <v>505</v>
      </c>
      <c r="P73" s="116">
        <v>1.0</v>
      </c>
      <c r="S73" s="48">
        <f t="shared" si="5"/>
        <v>0.0006944444467</v>
      </c>
      <c r="T73" s="110">
        <f t="shared" si="6"/>
        <v>1.000000003</v>
      </c>
      <c r="W73" s="119">
        <v>0.0</v>
      </c>
    </row>
    <row r="74" ht="15.75" customHeight="1">
      <c r="J74" s="113">
        <v>1.0</v>
      </c>
      <c r="K74" s="114" t="s">
        <v>112</v>
      </c>
      <c r="L74" s="115">
        <v>45960.34583333333</v>
      </c>
      <c r="M74" s="115">
        <v>45960.48055555556</v>
      </c>
      <c r="N74" s="48">
        <f t="shared" si="3"/>
        <v>0.1347222222</v>
      </c>
      <c r="O74" s="48">
        <f t="shared" si="4"/>
        <v>194</v>
      </c>
      <c r="P74" s="116">
        <v>3.0</v>
      </c>
      <c r="S74" s="48">
        <f t="shared" si="5"/>
        <v>0.002083333333</v>
      </c>
      <c r="T74" s="110">
        <f t="shared" si="6"/>
        <v>2.999999999</v>
      </c>
      <c r="W74" s="119">
        <v>1.0</v>
      </c>
    </row>
    <row r="75" ht="15.75" customHeight="1">
      <c r="J75" s="113">
        <v>1.0</v>
      </c>
      <c r="K75" s="114" t="s">
        <v>119</v>
      </c>
      <c r="L75" s="115">
        <v>45960.347916666666</v>
      </c>
      <c r="M75" s="115">
        <v>45960.60208333333</v>
      </c>
      <c r="N75" s="48">
        <f t="shared" si="3"/>
        <v>0.2541666667</v>
      </c>
      <c r="O75" s="48">
        <f t="shared" si="4"/>
        <v>366</v>
      </c>
      <c r="P75" s="116">
        <v>26.0</v>
      </c>
      <c r="S75" s="48">
        <f t="shared" si="5"/>
        <v>0.01805555556</v>
      </c>
      <c r="T75" s="110">
        <f t="shared" si="6"/>
        <v>26</v>
      </c>
      <c r="W75" s="119">
        <v>3.0</v>
      </c>
    </row>
    <row r="76" ht="15.75" customHeight="1">
      <c r="J76" s="113">
        <v>1.0</v>
      </c>
      <c r="K76" s="114" t="s">
        <v>132</v>
      </c>
      <c r="L76" s="115">
        <v>45960.36597222222</v>
      </c>
      <c r="M76" s="115">
        <v>45960.479166666664</v>
      </c>
      <c r="N76" s="48">
        <f t="shared" si="3"/>
        <v>0.1131944444</v>
      </c>
      <c r="O76" s="48">
        <f t="shared" si="4"/>
        <v>163</v>
      </c>
      <c r="P76" s="116">
        <v>3.0</v>
      </c>
      <c r="S76" s="48">
        <f t="shared" si="5"/>
        <v>0.002083333333</v>
      </c>
      <c r="T76" s="110">
        <f t="shared" si="6"/>
        <v>2.999999999</v>
      </c>
      <c r="W76" s="119">
        <v>26.0</v>
      </c>
    </row>
    <row r="77" ht="15.75" customHeight="1">
      <c r="J77" s="113">
        <v>1.0</v>
      </c>
      <c r="K77" s="114" t="s">
        <v>119</v>
      </c>
      <c r="L77" s="115">
        <v>45960.368055555555</v>
      </c>
      <c r="M77" s="115">
        <v>45960.70138888889</v>
      </c>
      <c r="N77" s="48">
        <f t="shared" si="3"/>
        <v>0.3333333333</v>
      </c>
      <c r="O77" s="48">
        <f t="shared" si="4"/>
        <v>480</v>
      </c>
      <c r="P77" s="116">
        <v>6.0</v>
      </c>
      <c r="S77" s="48">
        <f t="shared" si="5"/>
        <v>0.004166666666</v>
      </c>
      <c r="T77" s="110">
        <f t="shared" si="6"/>
        <v>5.999999999</v>
      </c>
      <c r="W77" s="119">
        <v>3.0</v>
      </c>
    </row>
    <row r="78" ht="15.75" customHeight="1">
      <c r="J78" s="113">
        <v>1.0</v>
      </c>
      <c r="K78" s="114" t="s">
        <v>132</v>
      </c>
      <c r="L78" s="115">
        <v>45960.37222222222</v>
      </c>
      <c r="M78" s="115">
        <v>45960.48125</v>
      </c>
      <c r="N78" s="48">
        <f t="shared" si="3"/>
        <v>0.1090277778</v>
      </c>
      <c r="O78" s="48">
        <f t="shared" si="4"/>
        <v>157</v>
      </c>
      <c r="P78" s="116">
        <v>1.0</v>
      </c>
      <c r="S78" s="48">
        <f t="shared" si="5"/>
        <v>0.0006944444467</v>
      </c>
      <c r="T78" s="110">
        <f t="shared" si="6"/>
        <v>1.000000003</v>
      </c>
      <c r="W78" s="119">
        <v>6.0</v>
      </c>
    </row>
    <row r="79" ht="15.75" customHeight="1">
      <c r="J79" s="113">
        <v>1.0</v>
      </c>
      <c r="K79" s="114" t="s">
        <v>112</v>
      </c>
      <c r="L79" s="115">
        <v>45960.37291666667</v>
      </c>
      <c r="M79" s="115">
        <v>45960.479166666664</v>
      </c>
      <c r="N79" s="48">
        <f t="shared" si="3"/>
        <v>0.10625</v>
      </c>
      <c r="O79" s="48">
        <f t="shared" si="4"/>
        <v>153</v>
      </c>
      <c r="P79" s="116">
        <v>1.0</v>
      </c>
      <c r="S79" s="48">
        <f t="shared" si="5"/>
        <v>0.0006944444467</v>
      </c>
      <c r="T79" s="110">
        <f t="shared" si="6"/>
        <v>1.000000003</v>
      </c>
      <c r="W79" s="119">
        <v>1.0</v>
      </c>
    </row>
    <row r="80" ht="15.75" customHeight="1">
      <c r="J80" s="113">
        <v>1.0</v>
      </c>
      <c r="K80" s="114" t="s">
        <v>118</v>
      </c>
      <c r="L80" s="115">
        <v>45960.373611111114</v>
      </c>
      <c r="M80" s="115">
        <v>45960.65347222222</v>
      </c>
      <c r="N80" s="48">
        <f t="shared" si="3"/>
        <v>0.2798611111</v>
      </c>
      <c r="O80" s="48">
        <f t="shared" si="4"/>
        <v>403</v>
      </c>
      <c r="P80" s="116">
        <v>2.0</v>
      </c>
      <c r="S80" s="48">
        <f t="shared" si="5"/>
        <v>0.001388888886</v>
      </c>
      <c r="T80" s="110">
        <f t="shared" si="6"/>
        <v>1.999999996</v>
      </c>
      <c r="W80" s="119">
        <v>1.0</v>
      </c>
    </row>
    <row r="81" ht="15.75" customHeight="1">
      <c r="J81" s="113">
        <v>1.0</v>
      </c>
      <c r="K81" s="114" t="s">
        <v>120</v>
      </c>
      <c r="L81" s="115">
        <v>45960.375</v>
      </c>
      <c r="M81" s="115">
        <v>45960.90972222222</v>
      </c>
      <c r="N81" s="48">
        <f t="shared" si="3"/>
        <v>0.5347222222</v>
      </c>
      <c r="O81" s="48">
        <f t="shared" si="4"/>
        <v>770</v>
      </c>
      <c r="P81" s="116">
        <v>7.0</v>
      </c>
      <c r="S81" s="48">
        <f t="shared" si="5"/>
        <v>0.004861111112</v>
      </c>
      <c r="T81" s="110">
        <f t="shared" si="6"/>
        <v>7.000000002</v>
      </c>
      <c r="W81" s="119">
        <v>2.0</v>
      </c>
    </row>
    <row r="82" ht="15.75" customHeight="1">
      <c r="J82" s="113">
        <v>1.0</v>
      </c>
      <c r="K82" s="114" t="s">
        <v>130</v>
      </c>
      <c r="L82" s="115">
        <v>45960.37986111111</v>
      </c>
      <c r="M82" s="115">
        <v>45960.48263888889</v>
      </c>
      <c r="N82" s="48">
        <f t="shared" si="3"/>
        <v>0.1027777778</v>
      </c>
      <c r="O82" s="48">
        <f t="shared" si="4"/>
        <v>148</v>
      </c>
      <c r="P82" s="116">
        <v>0.0</v>
      </c>
      <c r="S82" s="48">
        <f t="shared" si="5"/>
        <v>0</v>
      </c>
      <c r="T82" s="110">
        <f t="shared" si="6"/>
        <v>0</v>
      </c>
      <c r="W82" s="119">
        <v>7.0</v>
      </c>
    </row>
    <row r="83" ht="15.75" customHeight="1">
      <c r="J83" s="113">
        <v>1.0</v>
      </c>
      <c r="K83" s="114" t="s">
        <v>137</v>
      </c>
      <c r="L83" s="115">
        <v>45960.37986111111</v>
      </c>
      <c r="M83" s="115">
        <v>45960.57430555556</v>
      </c>
      <c r="N83" s="48">
        <f t="shared" si="3"/>
        <v>0.1944444444</v>
      </c>
      <c r="O83" s="48">
        <f t="shared" si="4"/>
        <v>280</v>
      </c>
      <c r="P83" s="116">
        <v>1.0</v>
      </c>
      <c r="S83" s="48">
        <f t="shared" si="5"/>
        <v>0.0006944444467</v>
      </c>
      <c r="T83" s="110">
        <f t="shared" si="6"/>
        <v>1.000000003</v>
      </c>
      <c r="W83" s="119">
        <v>0.0</v>
      </c>
    </row>
    <row r="84" ht="15.75" customHeight="1">
      <c r="J84" s="113">
        <v>1.0</v>
      </c>
      <c r="K84" s="114" t="s">
        <v>118</v>
      </c>
      <c r="L84" s="115">
        <v>45960.38055555556</v>
      </c>
      <c r="M84" s="115">
        <v>45960.638194444444</v>
      </c>
      <c r="N84" s="48">
        <f t="shared" si="3"/>
        <v>0.2576388889</v>
      </c>
      <c r="O84" s="48">
        <f t="shared" si="4"/>
        <v>371</v>
      </c>
      <c r="P84" s="116">
        <v>2.0</v>
      </c>
      <c r="S84" s="48">
        <f t="shared" si="5"/>
        <v>0.001388888886</v>
      </c>
      <c r="T84" s="110">
        <f t="shared" si="6"/>
        <v>1.999999996</v>
      </c>
      <c r="W84" s="119">
        <v>1.0</v>
      </c>
    </row>
    <row r="85" ht="15.75" customHeight="1">
      <c r="J85" s="113">
        <v>1.0</v>
      </c>
      <c r="K85" s="114" t="s">
        <v>118</v>
      </c>
      <c r="L85" s="115">
        <v>45960.381944444445</v>
      </c>
      <c r="M85" s="115">
        <v>45960.638194444444</v>
      </c>
      <c r="N85" s="48">
        <f t="shared" si="3"/>
        <v>0.25625</v>
      </c>
      <c r="O85" s="48">
        <f t="shared" si="4"/>
        <v>369</v>
      </c>
      <c r="P85" s="116">
        <v>9.0</v>
      </c>
      <c r="S85" s="48">
        <f t="shared" si="5"/>
        <v>0.006249999999</v>
      </c>
      <c r="T85" s="110">
        <f t="shared" si="6"/>
        <v>8.999999998</v>
      </c>
      <c r="W85" s="119">
        <v>2.0</v>
      </c>
    </row>
    <row r="86" ht="15.75" customHeight="1">
      <c r="J86" s="113">
        <v>1.0</v>
      </c>
      <c r="K86" s="114" t="s">
        <v>112</v>
      </c>
      <c r="L86" s="115">
        <v>45960.388194444444</v>
      </c>
      <c r="M86" s="115">
        <v>45960.479166666664</v>
      </c>
      <c r="N86" s="48">
        <f t="shared" si="3"/>
        <v>0.09097222222</v>
      </c>
      <c r="O86" s="48">
        <f t="shared" si="4"/>
        <v>131</v>
      </c>
      <c r="P86" s="116">
        <v>6.0</v>
      </c>
      <c r="S86" s="48">
        <f t="shared" si="5"/>
        <v>0.004166666666</v>
      </c>
      <c r="T86" s="110">
        <f t="shared" si="6"/>
        <v>5.999999999</v>
      </c>
      <c r="W86" s="119">
        <v>9.0</v>
      </c>
    </row>
    <row r="87" ht="15.75" customHeight="1">
      <c r="J87" s="113">
        <v>1.0</v>
      </c>
      <c r="K87" s="114" t="s">
        <v>112</v>
      </c>
      <c r="L87" s="115">
        <v>45960.39236111111</v>
      </c>
      <c r="M87" s="115">
        <v>45960.47986111111</v>
      </c>
      <c r="N87" s="48">
        <f t="shared" si="3"/>
        <v>0.0875</v>
      </c>
      <c r="O87" s="48">
        <f t="shared" si="4"/>
        <v>126</v>
      </c>
      <c r="P87" s="116">
        <v>2.0</v>
      </c>
      <c r="S87" s="48">
        <f t="shared" si="5"/>
        <v>0.001388888893</v>
      </c>
      <c r="T87" s="110">
        <f t="shared" si="6"/>
        <v>2.000000007</v>
      </c>
      <c r="W87" s="119">
        <v>6.0</v>
      </c>
    </row>
    <row r="88" ht="15.75" customHeight="1">
      <c r="J88" s="113">
        <v>1.0</v>
      </c>
      <c r="K88" s="114" t="s">
        <v>127</v>
      </c>
      <c r="L88" s="115">
        <v>45960.39375</v>
      </c>
      <c r="M88" s="115">
        <v>45960.47986111111</v>
      </c>
      <c r="N88" s="48">
        <f t="shared" si="3"/>
        <v>0.08611111111</v>
      </c>
      <c r="O88" s="48">
        <f t="shared" si="4"/>
        <v>124</v>
      </c>
      <c r="P88" s="116">
        <v>2.0</v>
      </c>
      <c r="S88" s="48">
        <f t="shared" si="5"/>
        <v>0.001388888886</v>
      </c>
      <c r="T88" s="110">
        <f t="shared" si="6"/>
        <v>1.999999996</v>
      </c>
      <c r="W88" s="119">
        <v>2.0</v>
      </c>
    </row>
    <row r="89" ht="15.75" customHeight="1">
      <c r="J89" s="113">
        <v>1.0</v>
      </c>
      <c r="K89" s="114" t="s">
        <v>136</v>
      </c>
      <c r="L89" s="115">
        <v>45960.39513888889</v>
      </c>
      <c r="M89" s="115">
        <v>45960.52291666667</v>
      </c>
      <c r="N89" s="48">
        <f t="shared" si="3"/>
        <v>0.1277777778</v>
      </c>
      <c r="O89" s="48">
        <f t="shared" si="4"/>
        <v>184</v>
      </c>
      <c r="P89" s="116">
        <v>5.0</v>
      </c>
      <c r="S89" s="48">
        <f t="shared" si="5"/>
        <v>0.003472222219</v>
      </c>
      <c r="T89" s="110">
        <f t="shared" si="6"/>
        <v>4.999999995</v>
      </c>
      <c r="W89" s="119">
        <v>2.0</v>
      </c>
    </row>
    <row r="90" ht="15.75" customHeight="1">
      <c r="J90" s="113">
        <v>1.0</v>
      </c>
      <c r="K90" s="114" t="s">
        <v>123</v>
      </c>
      <c r="L90" s="115">
        <v>45960.39861111111</v>
      </c>
      <c r="M90" s="115">
        <v>45960.62222222222</v>
      </c>
      <c r="N90" s="48">
        <f t="shared" si="3"/>
        <v>0.2236111111</v>
      </c>
      <c r="O90" s="48">
        <f t="shared" si="4"/>
        <v>322</v>
      </c>
      <c r="P90" s="116">
        <v>0.0</v>
      </c>
      <c r="S90" s="48">
        <f t="shared" si="5"/>
        <v>0</v>
      </c>
      <c r="T90" s="110">
        <f t="shared" si="6"/>
        <v>0</v>
      </c>
      <c r="W90" s="119">
        <v>5.0</v>
      </c>
    </row>
    <row r="91" ht="15.75" customHeight="1">
      <c r="J91" s="113">
        <v>1.0</v>
      </c>
      <c r="K91" s="114" t="s">
        <v>133</v>
      </c>
      <c r="L91" s="115">
        <v>45960.39861111111</v>
      </c>
      <c r="M91" s="115">
        <v>45960.52291666667</v>
      </c>
      <c r="N91" s="48">
        <f t="shared" si="3"/>
        <v>0.1243055556</v>
      </c>
      <c r="O91" s="48">
        <f t="shared" si="4"/>
        <v>179</v>
      </c>
      <c r="P91" s="116">
        <v>0.0</v>
      </c>
      <c r="S91" s="48">
        <f t="shared" si="5"/>
        <v>0</v>
      </c>
      <c r="T91" s="110">
        <f t="shared" si="6"/>
        <v>0</v>
      </c>
      <c r="W91" s="119">
        <v>0.0</v>
      </c>
    </row>
    <row r="92" ht="15.75" customHeight="1">
      <c r="J92" s="113">
        <v>1.0</v>
      </c>
      <c r="K92" s="114" t="s">
        <v>112</v>
      </c>
      <c r="L92" s="115">
        <v>45960.39861111111</v>
      </c>
      <c r="M92" s="115">
        <v>45960.4875</v>
      </c>
      <c r="N92" s="48">
        <f t="shared" si="3"/>
        <v>0.08888888889</v>
      </c>
      <c r="O92" s="48">
        <f t="shared" si="4"/>
        <v>128</v>
      </c>
      <c r="P92" s="116">
        <v>1.0</v>
      </c>
      <c r="S92" s="48">
        <f t="shared" si="5"/>
        <v>0.0006944444467</v>
      </c>
      <c r="T92" s="110">
        <f t="shared" si="6"/>
        <v>1.000000003</v>
      </c>
      <c r="W92" s="119">
        <v>0.0</v>
      </c>
    </row>
    <row r="93" ht="15.75" customHeight="1">
      <c r="J93" s="113">
        <v>1.0</v>
      </c>
      <c r="K93" s="114" t="s">
        <v>129</v>
      </c>
      <c r="L93" s="115">
        <v>45960.399305555555</v>
      </c>
      <c r="M93" s="115">
        <v>45960.444444444445</v>
      </c>
      <c r="N93" s="48">
        <f t="shared" si="3"/>
        <v>0.04513888889</v>
      </c>
      <c r="O93" s="48">
        <f t="shared" si="4"/>
        <v>65</v>
      </c>
      <c r="P93" s="116">
        <v>7.0</v>
      </c>
      <c r="S93" s="48">
        <f t="shared" si="5"/>
        <v>0.004861111112</v>
      </c>
      <c r="T93" s="110">
        <f t="shared" si="6"/>
        <v>7.000000002</v>
      </c>
      <c r="W93" s="119">
        <v>1.0</v>
      </c>
    </row>
    <row r="94" ht="15.75" customHeight="1">
      <c r="J94" s="113">
        <v>1.0</v>
      </c>
      <c r="K94" s="114" t="s">
        <v>132</v>
      </c>
      <c r="L94" s="115">
        <v>45960.40416666667</v>
      </c>
      <c r="M94" s="115">
        <v>45960.48055555556</v>
      </c>
      <c r="N94" s="48">
        <f t="shared" si="3"/>
        <v>0.07638888889</v>
      </c>
      <c r="O94" s="48">
        <f t="shared" si="4"/>
        <v>110</v>
      </c>
      <c r="P94" s="116">
        <v>5.0</v>
      </c>
      <c r="S94" s="48">
        <f t="shared" si="5"/>
        <v>0.003472222219</v>
      </c>
      <c r="T94" s="110">
        <f t="shared" si="6"/>
        <v>4.999999995</v>
      </c>
      <c r="W94" s="119">
        <v>7.0</v>
      </c>
    </row>
    <row r="95" ht="15.75" customHeight="1">
      <c r="J95" s="113">
        <v>1.0</v>
      </c>
      <c r="K95" s="114" t="s">
        <v>112</v>
      </c>
      <c r="L95" s="115">
        <v>45960.407638888886</v>
      </c>
      <c r="M95" s="115">
        <v>45960.638194444444</v>
      </c>
      <c r="N95" s="48">
        <f t="shared" si="3"/>
        <v>0.2305555556</v>
      </c>
      <c r="O95" s="48">
        <f t="shared" si="4"/>
        <v>332</v>
      </c>
      <c r="P95" s="116">
        <v>3.0</v>
      </c>
      <c r="S95" s="48">
        <f t="shared" si="5"/>
        <v>0.002083333333</v>
      </c>
      <c r="T95" s="110">
        <f t="shared" si="6"/>
        <v>2.999999999</v>
      </c>
      <c r="W95" s="119">
        <v>5.0</v>
      </c>
    </row>
    <row r="96" ht="15.75" customHeight="1">
      <c r="J96" s="113">
        <v>1.0</v>
      </c>
      <c r="K96" s="114" t="s">
        <v>133</v>
      </c>
      <c r="L96" s="115">
        <v>45960.40972222222</v>
      </c>
      <c r="M96" s="115">
        <v>45960.697222222225</v>
      </c>
      <c r="N96" s="48">
        <f t="shared" si="3"/>
        <v>0.2875</v>
      </c>
      <c r="O96" s="48">
        <f t="shared" si="4"/>
        <v>414</v>
      </c>
      <c r="P96" s="116">
        <v>3.0</v>
      </c>
      <c r="S96" s="48">
        <f t="shared" si="5"/>
        <v>0.00208333334</v>
      </c>
      <c r="T96" s="110">
        <f t="shared" si="6"/>
        <v>3.00000001</v>
      </c>
      <c r="W96" s="119">
        <v>3.0</v>
      </c>
    </row>
    <row r="97" ht="15.75" customHeight="1">
      <c r="J97" s="113">
        <v>1.0</v>
      </c>
      <c r="K97" s="114" t="s">
        <v>119</v>
      </c>
      <c r="L97" s="115">
        <v>45960.41180555556</v>
      </c>
      <c r="M97" s="115">
        <v>45960.444444444445</v>
      </c>
      <c r="N97" s="48">
        <f t="shared" si="3"/>
        <v>0.03263888889</v>
      </c>
      <c r="O97" s="48">
        <f t="shared" si="4"/>
        <v>47</v>
      </c>
      <c r="P97" s="116">
        <v>0.0</v>
      </c>
      <c r="R97" s="48">
        <f>median(O3:O106)</f>
        <v>179</v>
      </c>
      <c r="S97" s="48">
        <f t="shared" si="5"/>
        <v>0</v>
      </c>
      <c r="T97" s="110">
        <f t="shared" si="6"/>
        <v>0</v>
      </c>
      <c r="W97" s="119">
        <v>3.0</v>
      </c>
    </row>
    <row r="98" ht="15.75" customHeight="1">
      <c r="J98" s="113">
        <v>1.0</v>
      </c>
      <c r="K98" s="114" t="s">
        <v>117</v>
      </c>
      <c r="L98" s="115">
        <v>45960.41180555556</v>
      </c>
      <c r="M98" s="115">
        <v>45960.65347222222</v>
      </c>
      <c r="N98" s="48">
        <f t="shared" si="3"/>
        <v>0.2416666667</v>
      </c>
      <c r="O98" s="48">
        <f t="shared" si="4"/>
        <v>348</v>
      </c>
      <c r="P98" s="116">
        <v>8.0</v>
      </c>
      <c r="S98" s="48">
        <f t="shared" si="5"/>
        <v>0.005555555552</v>
      </c>
      <c r="T98" s="110">
        <f t="shared" si="6"/>
        <v>7.999999995</v>
      </c>
      <c r="W98" s="119">
        <v>0.0</v>
      </c>
    </row>
    <row r="99" ht="15.75" customHeight="1">
      <c r="J99" s="113">
        <v>1.0</v>
      </c>
      <c r="K99" s="114" t="s">
        <v>123</v>
      </c>
      <c r="L99" s="115">
        <v>45960.41736111111</v>
      </c>
      <c r="M99" s="115">
        <v>45960.75347222222</v>
      </c>
      <c r="N99" s="48">
        <f t="shared" si="3"/>
        <v>0.3361111111</v>
      </c>
      <c r="O99" s="48">
        <f t="shared" si="4"/>
        <v>484</v>
      </c>
      <c r="P99" s="116">
        <v>19.0</v>
      </c>
      <c r="S99" s="48">
        <f t="shared" si="5"/>
        <v>0.01319444444</v>
      </c>
      <c r="T99" s="110">
        <f t="shared" si="6"/>
        <v>19</v>
      </c>
      <c r="W99" s="119">
        <v>8.0</v>
      </c>
    </row>
    <row r="100" ht="15.75" customHeight="1">
      <c r="J100" s="113">
        <v>1.0</v>
      </c>
      <c r="K100" s="114" t="s">
        <v>135</v>
      </c>
      <c r="L100" s="115">
        <v>45960.430555555555</v>
      </c>
      <c r="M100" s="115">
        <v>45960.638194444444</v>
      </c>
      <c r="N100" s="48">
        <f t="shared" si="3"/>
        <v>0.2076388889</v>
      </c>
      <c r="O100" s="48">
        <f t="shared" si="4"/>
        <v>299</v>
      </c>
      <c r="P100" s="116">
        <v>2.0</v>
      </c>
      <c r="S100" s="48">
        <f t="shared" si="5"/>
        <v>0.001388888886</v>
      </c>
      <c r="T100" s="110">
        <f t="shared" si="6"/>
        <v>1.999999996</v>
      </c>
      <c r="W100" s="119">
        <v>19.0</v>
      </c>
    </row>
    <row r="101" ht="15.75" customHeight="1">
      <c r="J101" s="113">
        <v>1.0</v>
      </c>
      <c r="K101" s="114" t="s">
        <v>118</v>
      </c>
      <c r="L101" s="115">
        <v>45960.43194444444</v>
      </c>
      <c r="M101" s="115">
        <v>45960.62291666667</v>
      </c>
      <c r="N101" s="48">
        <f t="shared" si="3"/>
        <v>0.1909722222</v>
      </c>
      <c r="O101" s="48">
        <f t="shared" si="4"/>
        <v>275</v>
      </c>
      <c r="P101" s="116">
        <v>2.0</v>
      </c>
      <c r="S101" s="48">
        <f t="shared" si="5"/>
        <v>0.001388888893</v>
      </c>
      <c r="T101" s="110">
        <f t="shared" si="6"/>
        <v>2.000000007</v>
      </c>
      <c r="W101" s="119">
        <v>2.0</v>
      </c>
    </row>
    <row r="102" ht="15.75" customHeight="1">
      <c r="J102" s="113">
        <v>1.0</v>
      </c>
      <c r="K102" s="114" t="s">
        <v>136</v>
      </c>
      <c r="L102" s="115">
        <v>45960.433333333334</v>
      </c>
      <c r="M102" s="115">
        <v>45960.638194444444</v>
      </c>
      <c r="N102" s="48">
        <f t="shared" si="3"/>
        <v>0.2048611111</v>
      </c>
      <c r="O102" s="48">
        <f t="shared" si="4"/>
        <v>295</v>
      </c>
      <c r="P102" s="116">
        <v>0.0</v>
      </c>
      <c r="S102" s="48">
        <f t="shared" si="5"/>
        <v>0</v>
      </c>
      <c r="T102" s="110">
        <f t="shared" si="6"/>
        <v>0</v>
      </c>
      <c r="W102" s="119">
        <v>2.0</v>
      </c>
    </row>
    <row r="103" ht="15.75" customHeight="1">
      <c r="J103" s="113">
        <v>1.0</v>
      </c>
      <c r="K103" s="114" t="s">
        <v>132</v>
      </c>
      <c r="L103" s="115">
        <v>45960.433333333334</v>
      </c>
      <c r="M103" s="115">
        <v>45960.498611111114</v>
      </c>
      <c r="N103" s="48">
        <f t="shared" si="3"/>
        <v>0.06527777778</v>
      </c>
      <c r="O103" s="48">
        <f t="shared" si="4"/>
        <v>94</v>
      </c>
      <c r="P103" s="116">
        <v>2.0</v>
      </c>
      <c r="S103" s="48">
        <f t="shared" si="5"/>
        <v>0.001388888886</v>
      </c>
      <c r="T103" s="110">
        <f t="shared" si="6"/>
        <v>1.999999996</v>
      </c>
      <c r="W103" s="119">
        <v>0.0</v>
      </c>
    </row>
    <row r="104" ht="15.75" customHeight="1">
      <c r="J104" s="113">
        <v>1.0</v>
      </c>
      <c r="K104" s="114" t="s">
        <v>132</v>
      </c>
      <c r="L104" s="115">
        <v>45960.43472222222</v>
      </c>
      <c r="M104" s="115">
        <v>45960.525</v>
      </c>
      <c r="N104" s="48">
        <f t="shared" si="3"/>
        <v>0.09027777778</v>
      </c>
      <c r="O104" s="48">
        <f t="shared" si="4"/>
        <v>130</v>
      </c>
      <c r="P104" s="116">
        <v>20.0</v>
      </c>
      <c r="S104" s="48">
        <f t="shared" si="5"/>
        <v>0.01388888889</v>
      </c>
      <c r="T104" s="110">
        <f t="shared" si="6"/>
        <v>20</v>
      </c>
      <c r="W104" s="119">
        <v>2.0</v>
      </c>
    </row>
    <row r="105" ht="15.75" customHeight="1">
      <c r="J105" s="113">
        <v>1.0</v>
      </c>
      <c r="K105" s="114" t="s">
        <v>137</v>
      </c>
      <c r="L105" s="115">
        <v>45960.44861111111</v>
      </c>
      <c r="M105" s="115">
        <v>45960.59305555555</v>
      </c>
      <c r="N105" s="48">
        <f t="shared" si="3"/>
        <v>0.1444444444</v>
      </c>
      <c r="O105" s="48">
        <f t="shared" si="4"/>
        <v>208</v>
      </c>
      <c r="P105" s="116">
        <v>9.0</v>
      </c>
      <c r="S105" s="48">
        <f t="shared" si="5"/>
        <v>0.006249999999</v>
      </c>
      <c r="T105" s="110">
        <f t="shared" si="6"/>
        <v>8.999999998</v>
      </c>
      <c r="W105" s="119">
        <v>20.0</v>
      </c>
    </row>
    <row r="106" ht="15.75" customHeight="1">
      <c r="J106" s="113">
        <v>1.0</v>
      </c>
      <c r="K106" s="114" t="s">
        <v>125</v>
      </c>
      <c r="L106" s="115">
        <v>45960.45486111111</v>
      </c>
      <c r="M106" s="115">
        <v>45960.62430555555</v>
      </c>
      <c r="N106" s="48">
        <f t="shared" si="3"/>
        <v>0.1694444444</v>
      </c>
      <c r="O106" s="48">
        <f t="shared" si="4"/>
        <v>244</v>
      </c>
      <c r="P106" s="116">
        <v>2.0</v>
      </c>
      <c r="S106" s="48">
        <f t="shared" si="5"/>
        <v>0.001388888893</v>
      </c>
      <c r="T106" s="110">
        <f t="shared" si="6"/>
        <v>2.000000007</v>
      </c>
      <c r="W106" s="119">
        <v>9.0</v>
      </c>
    </row>
    <row r="107" ht="15.75" customHeight="1">
      <c r="J107" s="113">
        <v>1.0</v>
      </c>
      <c r="K107" s="114" t="s">
        <v>112</v>
      </c>
      <c r="L107" s="115">
        <v>45960.45625</v>
      </c>
      <c r="M107" s="115">
        <v>45960.524305555555</v>
      </c>
      <c r="N107" s="48">
        <f t="shared" si="3"/>
        <v>0.06805555555</v>
      </c>
      <c r="O107" s="48">
        <f t="shared" si="4"/>
        <v>97.99999999</v>
      </c>
      <c r="P107" s="116">
        <v>5.0</v>
      </c>
      <c r="S107" s="48">
        <f t="shared" si="5"/>
        <v>0.003472222219</v>
      </c>
      <c r="T107" s="110">
        <f t="shared" si="6"/>
        <v>4.999999995</v>
      </c>
      <c r="W107" s="119">
        <v>2.0</v>
      </c>
    </row>
    <row r="108" ht="15.75" customHeight="1">
      <c r="J108" s="113">
        <v>1.0</v>
      </c>
      <c r="K108" s="114" t="s">
        <v>112</v>
      </c>
      <c r="L108" s="115">
        <v>45960.45972222222</v>
      </c>
      <c r="M108" s="115">
        <v>45960.575694444444</v>
      </c>
      <c r="N108" s="48">
        <f t="shared" si="3"/>
        <v>0.1159722222</v>
      </c>
      <c r="O108" s="48">
        <f t="shared" si="4"/>
        <v>167</v>
      </c>
      <c r="P108" s="116">
        <v>1.0</v>
      </c>
      <c r="S108" s="48">
        <f t="shared" si="5"/>
        <v>0.0006944444467</v>
      </c>
      <c r="T108" s="110">
        <f t="shared" si="6"/>
        <v>1.000000003</v>
      </c>
      <c r="W108" s="119">
        <v>5.0</v>
      </c>
    </row>
    <row r="109" ht="15.75" customHeight="1">
      <c r="J109" s="113">
        <v>1.0</v>
      </c>
      <c r="K109" s="114" t="s">
        <v>133</v>
      </c>
      <c r="L109" s="115">
        <v>45960.46041666667</v>
      </c>
      <c r="M109" s="115">
        <v>45960.575694444444</v>
      </c>
      <c r="N109" s="48">
        <f t="shared" si="3"/>
        <v>0.1152777778</v>
      </c>
      <c r="O109" s="48">
        <f t="shared" si="4"/>
        <v>166</v>
      </c>
      <c r="P109" s="116">
        <v>4.0</v>
      </c>
      <c r="S109" s="48">
        <f t="shared" si="5"/>
        <v>0.002777777772</v>
      </c>
      <c r="T109" s="110">
        <f t="shared" si="6"/>
        <v>3.999999992</v>
      </c>
      <c r="W109" s="119">
        <v>1.0</v>
      </c>
    </row>
    <row r="110" ht="15.75" customHeight="1">
      <c r="J110" s="113">
        <v>1.0</v>
      </c>
      <c r="K110" s="114" t="s">
        <v>122</v>
      </c>
      <c r="L110" s="115">
        <v>45960.46319444444</v>
      </c>
      <c r="M110" s="115">
        <v>45960.84375</v>
      </c>
      <c r="N110" s="48">
        <f t="shared" si="3"/>
        <v>0.3805555556</v>
      </c>
      <c r="O110" s="48">
        <f t="shared" si="4"/>
        <v>548</v>
      </c>
      <c r="P110" s="116">
        <v>4.0</v>
      </c>
      <c r="S110" s="48">
        <f t="shared" si="5"/>
        <v>0.00277777778</v>
      </c>
      <c r="T110" s="110">
        <f t="shared" si="6"/>
        <v>4.000000003</v>
      </c>
      <c r="W110" s="119">
        <v>4.0</v>
      </c>
    </row>
    <row r="111" ht="15.75" customHeight="1">
      <c r="J111" s="113">
        <v>1.0</v>
      </c>
      <c r="K111" s="114" t="s">
        <v>138</v>
      </c>
      <c r="L111" s="115">
        <v>45960.46597222222</v>
      </c>
      <c r="M111" s="115">
        <v>45960.72777777778</v>
      </c>
      <c r="N111" s="48">
        <f t="shared" si="3"/>
        <v>0.2618055556</v>
      </c>
      <c r="O111" s="48">
        <f t="shared" si="4"/>
        <v>377</v>
      </c>
      <c r="P111" s="116">
        <v>2.0</v>
      </c>
      <c r="S111" s="48">
        <f t="shared" si="5"/>
        <v>0.001388888893</v>
      </c>
      <c r="T111" s="110">
        <f t="shared" si="6"/>
        <v>2.000000007</v>
      </c>
      <c r="W111" s="119">
        <v>4.0</v>
      </c>
    </row>
    <row r="112" ht="15.75" customHeight="1">
      <c r="J112" s="113">
        <v>1.0</v>
      </c>
      <c r="K112" s="114" t="s">
        <v>132</v>
      </c>
      <c r="L112" s="115">
        <v>45960.467361111114</v>
      </c>
      <c r="M112" s="115">
        <v>45960.575694444444</v>
      </c>
      <c r="N112" s="48">
        <f t="shared" si="3"/>
        <v>0.1083333333</v>
      </c>
      <c r="O112" s="48">
        <f t="shared" si="4"/>
        <v>156</v>
      </c>
      <c r="P112" s="116">
        <v>5.0</v>
      </c>
      <c r="S112" s="48">
        <f t="shared" si="5"/>
        <v>0.003472222219</v>
      </c>
      <c r="T112" s="110">
        <f t="shared" si="6"/>
        <v>4.999999995</v>
      </c>
      <c r="W112" s="119">
        <v>2.0</v>
      </c>
    </row>
    <row r="113" ht="15.75" customHeight="1">
      <c r="J113" s="113">
        <v>1.0</v>
      </c>
      <c r="K113" s="114" t="s">
        <v>124</v>
      </c>
      <c r="L113" s="115">
        <v>45960.47083333333</v>
      </c>
      <c r="M113" s="115">
        <v>45960.60138888889</v>
      </c>
      <c r="N113" s="48">
        <f t="shared" si="3"/>
        <v>0.1305555556</v>
      </c>
      <c r="O113" s="48">
        <f t="shared" si="4"/>
        <v>188</v>
      </c>
      <c r="P113" s="116">
        <v>6.0</v>
      </c>
      <c r="S113" s="48">
        <f t="shared" si="5"/>
        <v>0.004166666666</v>
      </c>
      <c r="T113" s="110">
        <f t="shared" si="6"/>
        <v>5.999999999</v>
      </c>
      <c r="W113" s="119">
        <v>5.0</v>
      </c>
    </row>
    <row r="114" ht="15.75" customHeight="1">
      <c r="J114" s="113">
        <v>1.0</v>
      </c>
      <c r="K114" s="114" t="s">
        <v>127</v>
      </c>
      <c r="L114" s="115">
        <v>45960.475</v>
      </c>
      <c r="M114" s="115">
        <v>45960.498611111114</v>
      </c>
      <c r="N114" s="48">
        <f t="shared" si="3"/>
        <v>0.02361111112</v>
      </c>
      <c r="O114" s="48">
        <f t="shared" si="4"/>
        <v>34.00000001</v>
      </c>
      <c r="P114" s="116">
        <v>1.0</v>
      </c>
      <c r="S114" s="48">
        <f t="shared" si="5"/>
        <v>0.0006944444467</v>
      </c>
      <c r="T114" s="110">
        <f t="shared" si="6"/>
        <v>1.000000003</v>
      </c>
      <c r="W114" s="119">
        <v>6.0</v>
      </c>
    </row>
    <row r="115" ht="15.75" customHeight="1">
      <c r="J115" s="113">
        <v>1.0</v>
      </c>
      <c r="K115" s="114" t="s">
        <v>133</v>
      </c>
      <c r="L115" s="115">
        <v>45960.475694444445</v>
      </c>
      <c r="M115" s="115">
        <v>45960.575694444444</v>
      </c>
      <c r="N115" s="48">
        <f t="shared" si="3"/>
        <v>0.1</v>
      </c>
      <c r="O115" s="48">
        <f t="shared" si="4"/>
        <v>144</v>
      </c>
      <c r="P115" s="116">
        <v>9.0</v>
      </c>
      <c r="S115" s="48">
        <f t="shared" si="5"/>
        <v>0.006249999999</v>
      </c>
      <c r="T115" s="110">
        <f t="shared" si="6"/>
        <v>8.999999998</v>
      </c>
      <c r="W115" s="119">
        <v>1.0</v>
      </c>
    </row>
    <row r="116" ht="15.75" customHeight="1">
      <c r="J116" s="113">
        <v>1.0</v>
      </c>
      <c r="K116" s="114" t="s">
        <v>135</v>
      </c>
      <c r="L116" s="115">
        <v>45960.481944444444</v>
      </c>
      <c r="M116" s="115">
        <v>45960.70486111111</v>
      </c>
      <c r="N116" s="48">
        <f t="shared" si="3"/>
        <v>0.2229166667</v>
      </c>
      <c r="O116" s="48">
        <f t="shared" si="4"/>
        <v>321</v>
      </c>
      <c r="P116" s="116">
        <v>14.0</v>
      </c>
      <c r="S116" s="48">
        <f t="shared" si="5"/>
        <v>0.009722222225</v>
      </c>
      <c r="T116" s="110">
        <f t="shared" si="6"/>
        <v>14</v>
      </c>
      <c r="W116" s="119">
        <v>9.0</v>
      </c>
    </row>
    <row r="117" ht="15.75" customHeight="1">
      <c r="J117" s="113">
        <v>1.0</v>
      </c>
      <c r="K117" s="114" t="s">
        <v>112</v>
      </c>
      <c r="L117" s="115">
        <v>45960.49166666667</v>
      </c>
      <c r="M117" s="115">
        <v>45960.575694444444</v>
      </c>
      <c r="N117" s="48">
        <f t="shared" si="3"/>
        <v>0.08402777778</v>
      </c>
      <c r="O117" s="48">
        <f t="shared" si="4"/>
        <v>121</v>
      </c>
      <c r="P117" s="116">
        <v>1.0</v>
      </c>
      <c r="S117" s="48">
        <f t="shared" si="5"/>
        <v>0.0006944444394</v>
      </c>
      <c r="T117" s="110">
        <f t="shared" si="6"/>
        <v>0.9999999928</v>
      </c>
      <c r="W117" s="119">
        <v>14.0</v>
      </c>
    </row>
    <row r="118" ht="15.75" customHeight="1">
      <c r="J118" s="113">
        <v>1.0</v>
      </c>
      <c r="K118" s="114" t="s">
        <v>136</v>
      </c>
      <c r="L118" s="115">
        <v>45960.49236111111</v>
      </c>
      <c r="M118" s="115">
        <v>45960.62430555555</v>
      </c>
      <c r="N118" s="48">
        <f t="shared" si="3"/>
        <v>0.1319444444</v>
      </c>
      <c r="O118" s="48">
        <f t="shared" si="4"/>
        <v>190</v>
      </c>
      <c r="P118" s="116">
        <v>8.0</v>
      </c>
      <c r="S118" s="48">
        <f t="shared" si="5"/>
        <v>0.005555555559</v>
      </c>
      <c r="T118" s="110">
        <f t="shared" si="6"/>
        <v>8.000000005</v>
      </c>
      <c r="W118" s="119">
        <v>1.0</v>
      </c>
    </row>
    <row r="119" ht="15.75" customHeight="1">
      <c r="J119" s="113">
        <v>1.0</v>
      </c>
      <c r="K119" s="114" t="s">
        <v>130</v>
      </c>
      <c r="L119" s="115">
        <v>45960.49791666667</v>
      </c>
      <c r="M119" s="115">
        <v>45960.60138888889</v>
      </c>
      <c r="N119" s="48">
        <f t="shared" si="3"/>
        <v>0.1034722222</v>
      </c>
      <c r="O119" s="48">
        <f t="shared" si="4"/>
        <v>149</v>
      </c>
      <c r="P119" s="116">
        <v>13.0</v>
      </c>
      <c r="S119" s="48">
        <f t="shared" si="5"/>
        <v>0.009027777778</v>
      </c>
      <c r="T119" s="110">
        <f t="shared" si="6"/>
        <v>13</v>
      </c>
      <c r="W119" s="119">
        <v>8.0</v>
      </c>
    </row>
    <row r="120" ht="15.75" customHeight="1">
      <c r="J120" s="113">
        <v>1.0</v>
      </c>
      <c r="K120" s="114" t="s">
        <v>132</v>
      </c>
      <c r="L120" s="115">
        <v>45960.506944444445</v>
      </c>
      <c r="M120" s="115">
        <v>45960.625</v>
      </c>
      <c r="N120" s="48">
        <f t="shared" si="3"/>
        <v>0.1180555556</v>
      </c>
      <c r="O120" s="48">
        <f t="shared" si="4"/>
        <v>170</v>
      </c>
      <c r="P120" s="116">
        <v>2.0</v>
      </c>
      <c r="S120" s="48">
        <f t="shared" si="5"/>
        <v>0.001388888886</v>
      </c>
      <c r="T120" s="110">
        <f t="shared" si="6"/>
        <v>1.999999996</v>
      </c>
      <c r="W120" s="119">
        <v>13.0</v>
      </c>
    </row>
    <row r="121" ht="15.75" customHeight="1">
      <c r="J121" s="113">
        <v>1.0</v>
      </c>
      <c r="K121" s="114" t="s">
        <v>122</v>
      </c>
      <c r="L121" s="115">
        <v>45960.50833333333</v>
      </c>
      <c r="M121" s="115">
        <v>45960.638194444444</v>
      </c>
      <c r="N121" s="48">
        <f t="shared" si="3"/>
        <v>0.1298611111</v>
      </c>
      <c r="O121" s="48">
        <f t="shared" si="4"/>
        <v>187</v>
      </c>
      <c r="P121" s="116">
        <v>2.0</v>
      </c>
      <c r="S121" s="48">
        <f t="shared" si="5"/>
        <v>0.001388888893</v>
      </c>
      <c r="T121" s="110">
        <f t="shared" si="6"/>
        <v>2.000000007</v>
      </c>
      <c r="W121" s="119">
        <v>2.0</v>
      </c>
    </row>
    <row r="122" ht="15.75" customHeight="1">
      <c r="J122" s="113">
        <v>1.0</v>
      </c>
      <c r="K122" s="114" t="s">
        <v>135</v>
      </c>
      <c r="L122" s="115">
        <v>45960.509722222225</v>
      </c>
      <c r="M122" s="115">
        <v>45960.71944444445</v>
      </c>
      <c r="N122" s="48">
        <f t="shared" si="3"/>
        <v>0.2097222222</v>
      </c>
      <c r="O122" s="48">
        <f t="shared" si="4"/>
        <v>302</v>
      </c>
      <c r="P122" s="116">
        <v>0.0</v>
      </c>
      <c r="S122" s="48">
        <f t="shared" si="5"/>
        <v>0</v>
      </c>
      <c r="T122" s="110">
        <f t="shared" si="6"/>
        <v>0</v>
      </c>
      <c r="W122" s="119">
        <v>2.0</v>
      </c>
    </row>
    <row r="123" ht="15.75" customHeight="1">
      <c r="J123" s="113">
        <v>1.0</v>
      </c>
      <c r="K123" s="114" t="s">
        <v>112</v>
      </c>
      <c r="L123" s="115">
        <v>45960.509722222225</v>
      </c>
      <c r="M123" s="115">
        <v>45960.575694444444</v>
      </c>
      <c r="N123" s="48">
        <f t="shared" si="3"/>
        <v>0.06597222222</v>
      </c>
      <c r="O123" s="48">
        <f t="shared" si="4"/>
        <v>95</v>
      </c>
      <c r="P123" s="116">
        <v>4.0</v>
      </c>
      <c r="S123" s="48">
        <f t="shared" si="5"/>
        <v>0.002777777772</v>
      </c>
      <c r="T123" s="110">
        <f t="shared" si="6"/>
        <v>3.999999992</v>
      </c>
      <c r="W123" s="119">
        <v>0.0</v>
      </c>
    </row>
    <row r="124" ht="15.75" customHeight="1">
      <c r="J124" s="113">
        <v>1.0</v>
      </c>
      <c r="K124" s="114" t="s">
        <v>138</v>
      </c>
      <c r="L124" s="115">
        <v>45960.5125</v>
      </c>
      <c r="M124" s="115">
        <v>45960.73263888889</v>
      </c>
      <c r="N124" s="48">
        <f t="shared" si="3"/>
        <v>0.2201388889</v>
      </c>
      <c r="O124" s="48">
        <f t="shared" si="4"/>
        <v>317</v>
      </c>
      <c r="P124" s="116">
        <v>1.0</v>
      </c>
      <c r="S124" s="48">
        <f t="shared" si="5"/>
        <v>0.0006944444467</v>
      </c>
      <c r="T124" s="110">
        <f t="shared" si="6"/>
        <v>1.000000003</v>
      </c>
      <c r="W124" s="119">
        <v>4.0</v>
      </c>
    </row>
    <row r="125" ht="15.75" customHeight="1">
      <c r="J125" s="113">
        <v>1.0</v>
      </c>
      <c r="K125" s="114" t="s">
        <v>123</v>
      </c>
      <c r="L125" s="115">
        <v>45960.513194444444</v>
      </c>
      <c r="M125" s="115">
        <v>45960.680555555555</v>
      </c>
      <c r="N125" s="48">
        <f t="shared" si="3"/>
        <v>0.1673611111</v>
      </c>
      <c r="O125" s="48">
        <f t="shared" si="4"/>
        <v>241</v>
      </c>
      <c r="P125" s="116">
        <v>0.0</v>
      </c>
      <c r="S125" s="48">
        <f t="shared" si="5"/>
        <v>0</v>
      </c>
      <c r="T125" s="110">
        <f t="shared" si="6"/>
        <v>0</v>
      </c>
      <c r="W125" s="119">
        <v>1.0</v>
      </c>
    </row>
    <row r="126" ht="15.75" customHeight="1">
      <c r="J126" s="113">
        <v>1.0</v>
      </c>
      <c r="K126" s="114" t="s">
        <v>117</v>
      </c>
      <c r="L126" s="115">
        <v>45960.513194444444</v>
      </c>
      <c r="M126" s="115">
        <v>45960.697222222225</v>
      </c>
      <c r="N126" s="48">
        <f t="shared" si="3"/>
        <v>0.1840277778</v>
      </c>
      <c r="O126" s="48">
        <f t="shared" si="4"/>
        <v>265</v>
      </c>
      <c r="P126" s="116">
        <v>4.0</v>
      </c>
      <c r="S126" s="48">
        <f t="shared" si="5"/>
        <v>0.00277777778</v>
      </c>
      <c r="T126" s="110">
        <f t="shared" si="6"/>
        <v>4.000000003</v>
      </c>
      <c r="W126" s="119">
        <v>0.0</v>
      </c>
    </row>
    <row r="127" ht="15.75" customHeight="1">
      <c r="J127" s="113">
        <v>1.0</v>
      </c>
      <c r="K127" s="114" t="s">
        <v>131</v>
      </c>
      <c r="L127" s="115">
        <v>45960.51597222222</v>
      </c>
      <c r="M127" s="115">
        <v>45960.65694444445</v>
      </c>
      <c r="N127" s="48">
        <f t="shared" si="3"/>
        <v>0.1409722222</v>
      </c>
      <c r="O127" s="48">
        <f t="shared" si="4"/>
        <v>203</v>
      </c>
      <c r="P127" s="116">
        <v>3.0</v>
      </c>
      <c r="S127" s="48">
        <f t="shared" si="5"/>
        <v>0.002083333333</v>
      </c>
      <c r="T127" s="110">
        <f t="shared" si="6"/>
        <v>2.999999999</v>
      </c>
      <c r="W127" s="119">
        <v>4.0</v>
      </c>
    </row>
    <row r="128" ht="15.75" customHeight="1">
      <c r="J128" s="113">
        <v>1.0</v>
      </c>
      <c r="K128" s="114" t="s">
        <v>123</v>
      </c>
      <c r="L128" s="115">
        <v>45960.518055555556</v>
      </c>
      <c r="M128" s="115">
        <v>45960.65694444445</v>
      </c>
      <c r="N128" s="48">
        <f t="shared" si="3"/>
        <v>0.1388888889</v>
      </c>
      <c r="O128" s="48">
        <f t="shared" si="4"/>
        <v>200</v>
      </c>
      <c r="P128" s="116">
        <v>4.0</v>
      </c>
      <c r="S128" s="48">
        <f t="shared" si="5"/>
        <v>0.00277777778</v>
      </c>
      <c r="T128" s="110">
        <f t="shared" si="6"/>
        <v>4.000000003</v>
      </c>
      <c r="W128" s="119">
        <v>3.0</v>
      </c>
    </row>
    <row r="129" ht="15.75" customHeight="1">
      <c r="J129" s="113">
        <v>1.0</v>
      </c>
      <c r="K129" s="114" t="s">
        <v>122</v>
      </c>
      <c r="L129" s="115">
        <v>45960.520833333336</v>
      </c>
      <c r="M129" s="115">
        <v>45960.65902777778</v>
      </c>
      <c r="N129" s="48">
        <f t="shared" si="3"/>
        <v>0.1381944444</v>
      </c>
      <c r="O129" s="48">
        <f t="shared" si="4"/>
        <v>199</v>
      </c>
      <c r="P129" s="116">
        <v>25.0</v>
      </c>
      <c r="S129" s="48">
        <f t="shared" si="5"/>
        <v>0.01736111111</v>
      </c>
      <c r="T129" s="110">
        <f t="shared" si="6"/>
        <v>25</v>
      </c>
      <c r="W129" s="119">
        <v>4.0</v>
      </c>
    </row>
    <row r="130" ht="15.75" customHeight="1">
      <c r="J130" s="113">
        <v>1.0</v>
      </c>
      <c r="K130" s="114" t="s">
        <v>112</v>
      </c>
      <c r="L130" s="115">
        <v>45960.538194444445</v>
      </c>
      <c r="M130" s="115">
        <v>45960.625</v>
      </c>
      <c r="N130" s="48">
        <f t="shared" si="3"/>
        <v>0.08680555555</v>
      </c>
      <c r="O130" s="48">
        <f t="shared" si="4"/>
        <v>125</v>
      </c>
      <c r="P130" s="116">
        <v>3.0</v>
      </c>
      <c r="S130" s="48">
        <f t="shared" si="5"/>
        <v>0.002083333333</v>
      </c>
      <c r="T130" s="110">
        <f t="shared" si="6"/>
        <v>2.999999999</v>
      </c>
      <c r="W130" s="119">
        <v>25.0</v>
      </c>
    </row>
    <row r="131" ht="15.75" customHeight="1">
      <c r="J131" s="113">
        <v>1.0</v>
      </c>
      <c r="K131" s="114" t="s">
        <v>139</v>
      </c>
      <c r="L131" s="115">
        <v>45960.54027777778</v>
      </c>
      <c r="M131" s="115">
        <v>45960.575694444444</v>
      </c>
      <c r="N131" s="48">
        <f t="shared" si="3"/>
        <v>0.03541666667</v>
      </c>
      <c r="O131" s="48">
        <f t="shared" si="4"/>
        <v>51</v>
      </c>
      <c r="P131" s="116">
        <v>4.0</v>
      </c>
      <c r="S131" s="48">
        <f t="shared" si="5"/>
        <v>0.00277777778</v>
      </c>
      <c r="T131" s="110">
        <f t="shared" si="6"/>
        <v>4.000000003</v>
      </c>
      <c r="W131" s="119">
        <v>3.0</v>
      </c>
    </row>
    <row r="132" ht="15.75" customHeight="1">
      <c r="J132" s="113">
        <v>1.0</v>
      </c>
      <c r="K132" s="114" t="s">
        <v>112</v>
      </c>
      <c r="L132" s="115">
        <v>45960.54305555556</v>
      </c>
      <c r="M132" s="115">
        <v>45960.697916666664</v>
      </c>
      <c r="N132" s="48">
        <f t="shared" si="3"/>
        <v>0.1548611111</v>
      </c>
      <c r="O132" s="48">
        <f t="shared" si="4"/>
        <v>223</v>
      </c>
      <c r="P132" s="116">
        <v>17.0</v>
      </c>
      <c r="S132" s="48">
        <f t="shared" si="5"/>
        <v>0.01180555555</v>
      </c>
      <c r="T132" s="110">
        <f t="shared" si="6"/>
        <v>16.99999999</v>
      </c>
      <c r="W132" s="119">
        <v>4.0</v>
      </c>
    </row>
    <row r="133" ht="15.75" customHeight="1">
      <c r="J133" s="113">
        <v>1.0</v>
      </c>
      <c r="K133" s="114" t="s">
        <v>122</v>
      </c>
      <c r="L133" s="115">
        <v>45960.55486111111</v>
      </c>
      <c r="M133" s="115">
        <v>45960.725694444445</v>
      </c>
      <c r="N133" s="48">
        <f t="shared" si="3"/>
        <v>0.1708333333</v>
      </c>
      <c r="O133" s="48">
        <f t="shared" si="4"/>
        <v>246</v>
      </c>
      <c r="P133" s="116">
        <v>0.0</v>
      </c>
      <c r="S133" s="48">
        <f t="shared" si="5"/>
        <v>0</v>
      </c>
      <c r="T133" s="110">
        <f t="shared" si="6"/>
        <v>0</v>
      </c>
      <c r="W133" s="119">
        <v>17.0</v>
      </c>
    </row>
    <row r="134" ht="15.75" customHeight="1">
      <c r="J134" s="113">
        <v>1.0</v>
      </c>
      <c r="K134" s="114" t="s">
        <v>134</v>
      </c>
      <c r="L134" s="115">
        <v>45960.55486111111</v>
      </c>
      <c r="M134" s="115">
        <v>45960.69236111111</v>
      </c>
      <c r="N134" s="48">
        <f t="shared" si="3"/>
        <v>0.1375</v>
      </c>
      <c r="O134" s="48">
        <f t="shared" si="4"/>
        <v>198</v>
      </c>
      <c r="P134" s="116">
        <v>15.0</v>
      </c>
      <c r="S134" s="48">
        <f t="shared" si="5"/>
        <v>0.01041666667</v>
      </c>
      <c r="T134" s="110">
        <f t="shared" si="6"/>
        <v>15.00000001</v>
      </c>
      <c r="W134" s="119">
        <v>0.0</v>
      </c>
    </row>
    <row r="135" ht="15.75" customHeight="1">
      <c r="J135" s="113">
        <v>1.0</v>
      </c>
      <c r="K135" s="114" t="s">
        <v>119</v>
      </c>
      <c r="L135" s="115">
        <v>45960.56527777778</v>
      </c>
      <c r="M135" s="115">
        <v>45960.62569444445</v>
      </c>
      <c r="N135" s="48">
        <f t="shared" si="3"/>
        <v>0.06041666667</v>
      </c>
      <c r="O135" s="48">
        <f t="shared" si="4"/>
        <v>87</v>
      </c>
      <c r="P135" s="116">
        <v>3.0</v>
      </c>
      <c r="S135" s="48">
        <f t="shared" si="5"/>
        <v>0.002083333333</v>
      </c>
      <c r="T135" s="110">
        <f t="shared" si="6"/>
        <v>2.999999999</v>
      </c>
      <c r="W135" s="119">
        <v>15.0</v>
      </c>
    </row>
    <row r="136" ht="15.75" customHeight="1">
      <c r="J136" s="113">
        <v>1.0</v>
      </c>
      <c r="K136" s="114" t="s">
        <v>119</v>
      </c>
      <c r="L136" s="115">
        <v>45960.56736111111</v>
      </c>
      <c r="M136" s="115">
        <v>45960.62708333333</v>
      </c>
      <c r="N136" s="48">
        <f t="shared" si="3"/>
        <v>0.05972222222</v>
      </c>
      <c r="O136" s="48">
        <f t="shared" si="4"/>
        <v>86</v>
      </c>
      <c r="P136" s="116">
        <v>4.0</v>
      </c>
      <c r="S136" s="48">
        <f t="shared" si="5"/>
        <v>0.00277777778</v>
      </c>
      <c r="T136" s="110">
        <f t="shared" si="6"/>
        <v>4.000000003</v>
      </c>
      <c r="W136" s="119">
        <v>3.0</v>
      </c>
    </row>
    <row r="137" ht="15.75" customHeight="1">
      <c r="J137" s="113">
        <v>1.0</v>
      </c>
      <c r="K137" s="114" t="s">
        <v>112</v>
      </c>
      <c r="L137" s="115">
        <v>45960.57013888889</v>
      </c>
      <c r="M137" s="115">
        <v>45960.62569444445</v>
      </c>
      <c r="N137" s="48">
        <f t="shared" si="3"/>
        <v>0.05555555555</v>
      </c>
      <c r="O137" s="48">
        <f t="shared" si="4"/>
        <v>80</v>
      </c>
      <c r="P137" s="116">
        <v>6.0</v>
      </c>
      <c r="S137" s="48">
        <f t="shared" si="5"/>
        <v>0.004166666666</v>
      </c>
      <c r="T137" s="110">
        <f t="shared" si="6"/>
        <v>5.999999999</v>
      </c>
      <c r="W137" s="119">
        <v>4.0</v>
      </c>
    </row>
    <row r="138" ht="15.75" customHeight="1">
      <c r="J138" s="113">
        <v>1.0</v>
      </c>
      <c r="K138" s="114" t="s">
        <v>138</v>
      </c>
      <c r="L138" s="115">
        <v>45960.57430555556</v>
      </c>
      <c r="M138" s="115">
        <v>45960.728472222225</v>
      </c>
      <c r="N138" s="48">
        <f t="shared" si="3"/>
        <v>0.1541666667</v>
      </c>
      <c r="O138" s="48">
        <f t="shared" si="4"/>
        <v>222</v>
      </c>
      <c r="P138" s="116">
        <v>0.0</v>
      </c>
      <c r="S138" s="48">
        <f t="shared" si="5"/>
        <v>0</v>
      </c>
      <c r="T138" s="110">
        <f t="shared" si="6"/>
        <v>0</v>
      </c>
      <c r="W138" s="119">
        <v>6.0</v>
      </c>
    </row>
    <row r="139" ht="15.75" customHeight="1">
      <c r="J139" s="113">
        <v>1.0</v>
      </c>
      <c r="K139" s="114" t="s">
        <v>112</v>
      </c>
      <c r="L139" s="115">
        <v>45960.57430555556</v>
      </c>
      <c r="M139" s="115">
        <v>45960.62569444445</v>
      </c>
      <c r="N139" s="48">
        <f t="shared" si="3"/>
        <v>0.05138888889</v>
      </c>
      <c r="O139" s="48">
        <f t="shared" si="4"/>
        <v>74</v>
      </c>
      <c r="P139" s="116">
        <v>4.0</v>
      </c>
      <c r="S139" s="48">
        <f t="shared" si="5"/>
        <v>0.002777777772</v>
      </c>
      <c r="T139" s="110">
        <f t="shared" si="6"/>
        <v>3.999999992</v>
      </c>
      <c r="W139" s="119">
        <v>0.0</v>
      </c>
    </row>
    <row r="140" ht="15.75" customHeight="1">
      <c r="J140" s="113">
        <v>1.0</v>
      </c>
      <c r="K140" s="114" t="s">
        <v>119</v>
      </c>
      <c r="L140" s="115">
        <v>45960.57708333333</v>
      </c>
      <c r="M140" s="115">
        <v>45960.62569444445</v>
      </c>
      <c r="N140" s="48">
        <f t="shared" si="3"/>
        <v>0.04861111112</v>
      </c>
      <c r="O140" s="48">
        <f t="shared" si="4"/>
        <v>70.00000001</v>
      </c>
      <c r="P140" s="116">
        <v>0.0</v>
      </c>
      <c r="S140" s="48">
        <f t="shared" si="5"/>
        <v>0</v>
      </c>
      <c r="T140" s="110">
        <f t="shared" si="6"/>
        <v>0</v>
      </c>
      <c r="W140" s="119">
        <v>4.0</v>
      </c>
    </row>
    <row r="141" ht="15.75" customHeight="1">
      <c r="J141" s="113">
        <v>1.0</v>
      </c>
      <c r="K141" s="114" t="s">
        <v>121</v>
      </c>
      <c r="L141" s="115">
        <v>45960.57708333333</v>
      </c>
      <c r="M141" s="115">
        <v>45960.73125</v>
      </c>
      <c r="N141" s="48">
        <f t="shared" si="3"/>
        <v>0.1541666667</v>
      </c>
      <c r="O141" s="48">
        <f t="shared" si="4"/>
        <v>222</v>
      </c>
      <c r="P141" s="116">
        <v>0.0</v>
      </c>
      <c r="S141" s="48">
        <f t="shared" si="5"/>
        <v>0</v>
      </c>
      <c r="T141" s="110">
        <f t="shared" si="6"/>
        <v>0</v>
      </c>
      <c r="W141" s="119">
        <v>0.0</v>
      </c>
    </row>
    <row r="142" ht="15.75" customHeight="1">
      <c r="J142" s="113">
        <v>1.0</v>
      </c>
      <c r="K142" s="114" t="s">
        <v>112</v>
      </c>
      <c r="L142" s="115">
        <v>45960.57708333333</v>
      </c>
      <c r="M142" s="115">
        <v>45960.68125</v>
      </c>
      <c r="N142" s="48">
        <f t="shared" si="3"/>
        <v>0.1041666667</v>
      </c>
      <c r="O142" s="48">
        <f t="shared" si="4"/>
        <v>150</v>
      </c>
      <c r="P142" s="116">
        <v>2.0</v>
      </c>
      <c r="S142" s="48">
        <f t="shared" si="5"/>
        <v>0.001388888893</v>
      </c>
      <c r="T142" s="110">
        <f t="shared" si="6"/>
        <v>2.000000007</v>
      </c>
      <c r="W142" s="119">
        <v>0.0</v>
      </c>
    </row>
    <row r="143" ht="15.75" customHeight="1">
      <c r="J143" s="113">
        <v>1.0</v>
      </c>
      <c r="K143" s="114" t="s">
        <v>112</v>
      </c>
      <c r="L143" s="115">
        <v>45960.57847222222</v>
      </c>
      <c r="M143" s="115">
        <v>45960.680555555555</v>
      </c>
      <c r="N143" s="48">
        <f t="shared" si="3"/>
        <v>0.1020833333</v>
      </c>
      <c r="O143" s="48">
        <f t="shared" si="4"/>
        <v>147</v>
      </c>
      <c r="P143" s="116">
        <v>10.0</v>
      </c>
      <c r="S143" s="48">
        <f t="shared" si="5"/>
        <v>0.006944444445</v>
      </c>
      <c r="T143" s="110">
        <f t="shared" si="6"/>
        <v>10</v>
      </c>
      <c r="W143" s="119">
        <v>2.0</v>
      </c>
    </row>
    <row r="144" ht="15.75" customHeight="1">
      <c r="J144" s="113">
        <v>1.0</v>
      </c>
      <c r="K144" s="114" t="s">
        <v>119</v>
      </c>
      <c r="L144" s="115">
        <v>45960.58541666667</v>
      </c>
      <c r="M144" s="115">
        <v>45960.62569444445</v>
      </c>
      <c r="N144" s="48">
        <f t="shared" si="3"/>
        <v>0.04027777778</v>
      </c>
      <c r="O144" s="48">
        <f t="shared" si="4"/>
        <v>58</v>
      </c>
      <c r="P144" s="116">
        <v>4.0</v>
      </c>
      <c r="S144" s="48">
        <f t="shared" si="5"/>
        <v>0.002777777772</v>
      </c>
      <c r="T144" s="110">
        <f t="shared" si="6"/>
        <v>3.999999992</v>
      </c>
      <c r="W144" s="119">
        <v>10.0</v>
      </c>
    </row>
    <row r="145" ht="15.75" customHeight="1">
      <c r="J145" s="113">
        <v>1.0</v>
      </c>
      <c r="K145" s="114" t="s">
        <v>112</v>
      </c>
      <c r="L145" s="115">
        <v>45960.58819444444</v>
      </c>
      <c r="M145" s="115">
        <v>45960.62569444445</v>
      </c>
      <c r="N145" s="48">
        <f t="shared" si="3"/>
        <v>0.03750000001</v>
      </c>
      <c r="O145" s="48">
        <f t="shared" si="4"/>
        <v>54.00000001</v>
      </c>
      <c r="P145" s="116">
        <v>3.0</v>
      </c>
      <c r="S145" s="48">
        <f t="shared" si="5"/>
        <v>0.00208333334</v>
      </c>
      <c r="T145" s="110">
        <f t="shared" si="6"/>
        <v>3.00000001</v>
      </c>
      <c r="W145" s="119">
        <v>4.0</v>
      </c>
    </row>
    <row r="146" ht="15.75" customHeight="1">
      <c r="J146" s="113">
        <v>1.0</v>
      </c>
      <c r="K146" s="114" t="s">
        <v>112</v>
      </c>
      <c r="L146" s="115">
        <v>45960.59027777778</v>
      </c>
      <c r="M146" s="115">
        <v>45960.69652777778</v>
      </c>
      <c r="N146" s="48">
        <f t="shared" si="3"/>
        <v>0.10625</v>
      </c>
      <c r="O146" s="48">
        <f t="shared" si="4"/>
        <v>153</v>
      </c>
      <c r="P146" s="116">
        <v>0.0</v>
      </c>
      <c r="S146" s="48">
        <f t="shared" si="5"/>
        <v>0</v>
      </c>
      <c r="T146" s="110">
        <f t="shared" si="6"/>
        <v>0</v>
      </c>
      <c r="W146" s="119">
        <v>3.0</v>
      </c>
    </row>
    <row r="147" ht="15.75" customHeight="1">
      <c r="J147" s="113">
        <v>1.0</v>
      </c>
      <c r="K147" s="114" t="s">
        <v>130</v>
      </c>
      <c r="L147" s="115">
        <v>45960.59027777778</v>
      </c>
      <c r="M147" s="115">
        <v>45960.70625</v>
      </c>
      <c r="N147" s="48">
        <f t="shared" si="3"/>
        <v>0.1159722222</v>
      </c>
      <c r="O147" s="48">
        <f t="shared" si="4"/>
        <v>167</v>
      </c>
      <c r="P147" s="116">
        <v>5.0</v>
      </c>
      <c r="S147" s="48">
        <f t="shared" si="5"/>
        <v>0.003472222219</v>
      </c>
      <c r="T147" s="110">
        <f t="shared" si="6"/>
        <v>4.999999995</v>
      </c>
      <c r="W147" s="119">
        <v>0.0</v>
      </c>
    </row>
    <row r="148" ht="15.75" customHeight="1">
      <c r="J148" s="113">
        <v>1.0</v>
      </c>
      <c r="K148" s="114" t="s">
        <v>112</v>
      </c>
      <c r="L148" s="115">
        <v>45960.59375</v>
      </c>
      <c r="M148" s="115">
        <v>45960.638194444444</v>
      </c>
      <c r="N148" s="48">
        <f t="shared" si="3"/>
        <v>0.04444444444</v>
      </c>
      <c r="O148" s="48">
        <f t="shared" si="4"/>
        <v>64</v>
      </c>
      <c r="P148" s="116">
        <v>1.0</v>
      </c>
      <c r="S148" s="48">
        <f t="shared" si="5"/>
        <v>0.0006944444467</v>
      </c>
      <c r="T148" s="110">
        <f t="shared" si="6"/>
        <v>1.000000003</v>
      </c>
      <c r="W148" s="119">
        <v>5.0</v>
      </c>
    </row>
    <row r="149" ht="15.75" customHeight="1">
      <c r="J149" s="113">
        <v>1.0</v>
      </c>
      <c r="K149" s="114" t="s">
        <v>112</v>
      </c>
      <c r="L149" s="115">
        <v>45960.59444444445</v>
      </c>
      <c r="M149" s="115">
        <v>45960.68125</v>
      </c>
      <c r="N149" s="48">
        <f t="shared" si="3"/>
        <v>0.08680555555</v>
      </c>
      <c r="O149" s="48">
        <f t="shared" si="4"/>
        <v>125</v>
      </c>
      <c r="P149" s="116">
        <v>2.0</v>
      </c>
      <c r="S149" s="48">
        <f t="shared" si="5"/>
        <v>0.001388888886</v>
      </c>
      <c r="T149" s="110">
        <f t="shared" si="6"/>
        <v>1.999999996</v>
      </c>
      <c r="W149" s="119">
        <v>1.0</v>
      </c>
    </row>
    <row r="150" ht="15.75" customHeight="1">
      <c r="J150" s="113">
        <v>1.0</v>
      </c>
      <c r="K150" s="114" t="s">
        <v>137</v>
      </c>
      <c r="L150" s="115">
        <v>45960.59583333333</v>
      </c>
      <c r="M150" s="115">
        <v>45960.626388888886</v>
      </c>
      <c r="N150" s="48">
        <f t="shared" si="3"/>
        <v>0.03055555555</v>
      </c>
      <c r="O150" s="48">
        <f t="shared" si="4"/>
        <v>44</v>
      </c>
      <c r="P150" s="116">
        <v>11.0</v>
      </c>
      <c r="S150" s="48">
        <f t="shared" si="5"/>
        <v>0.007638888892</v>
      </c>
      <c r="T150" s="110">
        <f t="shared" si="6"/>
        <v>11</v>
      </c>
      <c r="W150" s="119">
        <v>2.0</v>
      </c>
    </row>
    <row r="151" ht="15.75" customHeight="1">
      <c r="J151" s="113">
        <v>1.0</v>
      </c>
      <c r="K151" s="114" t="s">
        <v>112</v>
      </c>
      <c r="L151" s="115">
        <v>45960.603472222225</v>
      </c>
      <c r="M151" s="115">
        <v>45960.70416666667</v>
      </c>
      <c r="N151" s="48">
        <f t="shared" si="3"/>
        <v>0.1006944444</v>
      </c>
      <c r="O151" s="48">
        <f t="shared" si="4"/>
        <v>145</v>
      </c>
      <c r="P151" s="116">
        <v>7.0</v>
      </c>
      <c r="S151" s="48">
        <f t="shared" si="5"/>
        <v>0.004861111105</v>
      </c>
      <c r="T151" s="110">
        <f t="shared" si="6"/>
        <v>6.999999991</v>
      </c>
      <c r="W151" s="119">
        <v>11.0</v>
      </c>
    </row>
    <row r="152" ht="15.75" customHeight="1">
      <c r="J152" s="113">
        <v>1.0</v>
      </c>
      <c r="K152" s="114" t="s">
        <v>137</v>
      </c>
      <c r="L152" s="115">
        <v>45960.60833333333</v>
      </c>
      <c r="M152" s="115">
        <v>45960.717361111114</v>
      </c>
      <c r="N152" s="48">
        <f t="shared" si="3"/>
        <v>0.1090277778</v>
      </c>
      <c r="O152" s="48">
        <f t="shared" si="4"/>
        <v>157</v>
      </c>
      <c r="P152" s="116">
        <v>8.0</v>
      </c>
      <c r="S152" s="48">
        <f t="shared" si="5"/>
        <v>0.005555555559</v>
      </c>
      <c r="T152" s="110">
        <f t="shared" si="6"/>
        <v>8.000000005</v>
      </c>
      <c r="W152" s="119">
        <v>7.0</v>
      </c>
    </row>
    <row r="153" ht="15.75" customHeight="1">
      <c r="J153" s="113">
        <v>1.0</v>
      </c>
      <c r="K153" s="114" t="s">
        <v>112</v>
      </c>
      <c r="L153" s="115">
        <v>45960.61388888889</v>
      </c>
      <c r="M153" s="115">
        <v>45960.88680555556</v>
      </c>
      <c r="N153" s="48">
        <f t="shared" si="3"/>
        <v>0.2729166667</v>
      </c>
      <c r="O153" s="48">
        <f t="shared" si="4"/>
        <v>393</v>
      </c>
      <c r="P153" s="116">
        <v>3.0</v>
      </c>
      <c r="S153" s="48">
        <f t="shared" si="5"/>
        <v>0.002083333333</v>
      </c>
      <c r="T153" s="110">
        <f t="shared" si="6"/>
        <v>2.999999999</v>
      </c>
      <c r="W153" s="119">
        <v>8.0</v>
      </c>
    </row>
    <row r="154" ht="15.75" customHeight="1">
      <c r="J154" s="113">
        <v>1.0</v>
      </c>
      <c r="K154" s="114" t="s">
        <v>119</v>
      </c>
      <c r="L154" s="115">
        <v>45960.61597222222</v>
      </c>
      <c r="M154" s="115">
        <v>45960.70694444444</v>
      </c>
      <c r="N154" s="48">
        <f t="shared" si="3"/>
        <v>0.09097222222</v>
      </c>
      <c r="O154" s="48">
        <f t="shared" si="4"/>
        <v>131</v>
      </c>
      <c r="P154" s="116">
        <v>15.0</v>
      </c>
      <c r="S154" s="48">
        <f t="shared" si="5"/>
        <v>0.01041666666</v>
      </c>
      <c r="T154" s="110">
        <f t="shared" si="6"/>
        <v>15</v>
      </c>
      <c r="W154" s="119">
        <v>3.0</v>
      </c>
    </row>
    <row r="155" ht="15.75" customHeight="1">
      <c r="J155" s="113">
        <v>1.0</v>
      </c>
      <c r="K155" s="114" t="s">
        <v>119</v>
      </c>
      <c r="L155" s="115">
        <v>45960.626388888886</v>
      </c>
      <c r="M155" s="115">
        <v>45960.62986111111</v>
      </c>
      <c r="N155" s="48">
        <f t="shared" si="3"/>
        <v>0.003472222226</v>
      </c>
      <c r="O155" s="48">
        <f t="shared" si="4"/>
        <v>5.000000006</v>
      </c>
      <c r="P155" s="116">
        <v>19.0</v>
      </c>
      <c r="S155" s="48">
        <f t="shared" si="5"/>
        <v>0.01319444444</v>
      </c>
      <c r="T155" s="110">
        <f t="shared" si="6"/>
        <v>19</v>
      </c>
      <c r="W155" s="119">
        <v>15.0</v>
      </c>
    </row>
    <row r="156" ht="15.75" customHeight="1">
      <c r="J156" s="113">
        <v>1.0</v>
      </c>
      <c r="K156" s="114" t="s">
        <v>133</v>
      </c>
      <c r="L156" s="115">
        <v>45960.63958333333</v>
      </c>
      <c r="M156" s="115">
        <v>45960.84444444445</v>
      </c>
      <c r="N156" s="48">
        <f t="shared" si="3"/>
        <v>0.2048611111</v>
      </c>
      <c r="O156" s="48">
        <f t="shared" si="4"/>
        <v>295</v>
      </c>
      <c r="P156" s="116">
        <v>3.0</v>
      </c>
      <c r="S156" s="48">
        <f t="shared" si="5"/>
        <v>0.00208333334</v>
      </c>
      <c r="T156" s="110">
        <f t="shared" si="6"/>
        <v>3.00000001</v>
      </c>
      <c r="W156" s="119">
        <v>19.0</v>
      </c>
    </row>
    <row r="157" ht="15.75" customHeight="1">
      <c r="J157" s="113">
        <v>1.0</v>
      </c>
      <c r="K157" s="114" t="s">
        <v>123</v>
      </c>
      <c r="L157" s="115">
        <v>45960.64166666667</v>
      </c>
      <c r="M157" s="115">
        <v>45960.78055555555</v>
      </c>
      <c r="N157" s="48">
        <f t="shared" si="3"/>
        <v>0.1388888889</v>
      </c>
      <c r="O157" s="48">
        <f t="shared" si="4"/>
        <v>200</v>
      </c>
      <c r="P157" s="116">
        <v>3.0</v>
      </c>
      <c r="S157" s="48">
        <f t="shared" si="5"/>
        <v>0.002083333333</v>
      </c>
      <c r="T157" s="110">
        <f t="shared" si="6"/>
        <v>2.999999999</v>
      </c>
      <c r="V157" s="110">
        <f>median(T3:T139)</f>
        <v>2.000000007</v>
      </c>
      <c r="W157" s="119">
        <v>3.0</v>
      </c>
    </row>
    <row r="158" ht="15.75" customHeight="1">
      <c r="J158" s="113">
        <v>1.0</v>
      </c>
      <c r="K158" s="114" t="s">
        <v>112</v>
      </c>
      <c r="L158" s="115">
        <v>45960.64375</v>
      </c>
      <c r="M158" s="115">
        <v>45960.84444444445</v>
      </c>
      <c r="N158" s="48">
        <f t="shared" si="3"/>
        <v>0.2006944444</v>
      </c>
      <c r="O158" s="48">
        <f t="shared" si="4"/>
        <v>289</v>
      </c>
      <c r="P158" s="116">
        <v>5.0</v>
      </c>
      <c r="S158" s="48">
        <f t="shared" si="5"/>
        <v>0.003472222219</v>
      </c>
      <c r="T158" s="110">
        <f t="shared" si="6"/>
        <v>4.999999995</v>
      </c>
      <c r="W158" s="119">
        <v>3.0</v>
      </c>
    </row>
    <row r="159" ht="15.75" customHeight="1">
      <c r="J159" s="113">
        <v>1.0</v>
      </c>
      <c r="K159" s="114" t="s">
        <v>112</v>
      </c>
      <c r="L159" s="115">
        <v>45960.64722222222</v>
      </c>
      <c r="M159" s="115">
        <v>45960.78055555555</v>
      </c>
      <c r="N159" s="48">
        <f t="shared" si="3"/>
        <v>0.1333333333</v>
      </c>
      <c r="O159" s="48">
        <f t="shared" si="4"/>
        <v>192</v>
      </c>
      <c r="P159" s="116">
        <v>2.0</v>
      </c>
      <c r="S159" s="48">
        <f t="shared" si="5"/>
        <v>0.001388888886</v>
      </c>
      <c r="T159" s="110">
        <f t="shared" si="6"/>
        <v>1.999999996</v>
      </c>
      <c r="W159" s="119">
        <v>5.0</v>
      </c>
    </row>
    <row r="160" ht="15.75" customHeight="1">
      <c r="J160" s="113">
        <v>1.0</v>
      </c>
      <c r="K160" s="114" t="s">
        <v>137</v>
      </c>
      <c r="L160" s="115">
        <v>45960.64861111111</v>
      </c>
      <c r="M160" s="115">
        <v>45961.38958333333</v>
      </c>
      <c r="N160" s="48">
        <f t="shared" si="3"/>
        <v>0.7409722222</v>
      </c>
      <c r="O160" s="48">
        <f t="shared" si="4"/>
        <v>1067</v>
      </c>
      <c r="P160" s="116">
        <v>2.0</v>
      </c>
      <c r="S160" s="48">
        <f t="shared" si="5"/>
        <v>0.001388888893</v>
      </c>
      <c r="T160" s="110">
        <f t="shared" si="6"/>
        <v>2.000000007</v>
      </c>
      <c r="W160" s="119">
        <v>2.0</v>
      </c>
    </row>
    <row r="161" ht="15.75" customHeight="1">
      <c r="J161" s="113">
        <v>1.0</v>
      </c>
      <c r="K161" s="114" t="s">
        <v>137</v>
      </c>
      <c r="L161" s="115">
        <v>45960.65</v>
      </c>
      <c r="M161" s="115">
        <v>45960.88680555556</v>
      </c>
      <c r="N161" s="48">
        <f t="shared" si="3"/>
        <v>0.2368055556</v>
      </c>
      <c r="O161" s="48">
        <f t="shared" si="4"/>
        <v>341</v>
      </c>
      <c r="P161" s="116">
        <v>3.0</v>
      </c>
      <c r="S161" s="48">
        <f t="shared" si="5"/>
        <v>0.002083333333</v>
      </c>
      <c r="T161" s="110">
        <f t="shared" si="6"/>
        <v>2.999999999</v>
      </c>
      <c r="W161" s="119">
        <v>2.0</v>
      </c>
    </row>
    <row r="162" ht="15.75" customHeight="1">
      <c r="J162" s="113">
        <v>1.0</v>
      </c>
      <c r="K162" s="114" t="s">
        <v>112</v>
      </c>
      <c r="L162" s="115">
        <v>45960.652083333334</v>
      </c>
      <c r="M162" s="115">
        <v>45960.720138888886</v>
      </c>
      <c r="N162" s="48">
        <f t="shared" si="3"/>
        <v>0.06805555555</v>
      </c>
      <c r="O162" s="48">
        <f t="shared" si="4"/>
        <v>97.99999999</v>
      </c>
      <c r="P162" s="116">
        <v>0.0</v>
      </c>
      <c r="S162" s="48">
        <f t="shared" si="5"/>
        <v>0</v>
      </c>
      <c r="T162" s="110">
        <f t="shared" si="6"/>
        <v>0</v>
      </c>
      <c r="W162" s="119">
        <v>3.0</v>
      </c>
    </row>
    <row r="163" ht="15.75" customHeight="1">
      <c r="J163" s="113">
        <v>1.0</v>
      </c>
      <c r="K163" s="114" t="s">
        <v>112</v>
      </c>
      <c r="L163" s="115">
        <v>45960.652083333334</v>
      </c>
      <c r="M163" s="115">
        <v>45960.71805555555</v>
      </c>
      <c r="N163" s="48">
        <f t="shared" si="3"/>
        <v>0.06597222222</v>
      </c>
      <c r="O163" s="48">
        <f t="shared" si="4"/>
        <v>95</v>
      </c>
      <c r="P163" s="116">
        <v>4.0</v>
      </c>
      <c r="S163" s="48">
        <f t="shared" si="5"/>
        <v>0.00277777778</v>
      </c>
      <c r="T163" s="110">
        <f t="shared" si="6"/>
        <v>4.000000003</v>
      </c>
      <c r="W163" s="119">
        <v>0.0</v>
      </c>
    </row>
    <row r="164" ht="15.75" customHeight="1">
      <c r="J164" s="113">
        <v>1.0</v>
      </c>
      <c r="K164" s="114" t="s">
        <v>118</v>
      </c>
      <c r="L164" s="115">
        <v>45960.654861111114</v>
      </c>
      <c r="M164" s="115">
        <v>45960.88680555556</v>
      </c>
      <c r="N164" s="48">
        <f t="shared" si="3"/>
        <v>0.2319444444</v>
      </c>
      <c r="O164" s="48">
        <f t="shared" si="4"/>
        <v>334</v>
      </c>
      <c r="P164" s="116">
        <v>26.0</v>
      </c>
      <c r="S164" s="48">
        <f t="shared" si="5"/>
        <v>0.01805555556</v>
      </c>
      <c r="T164" s="110">
        <f t="shared" si="6"/>
        <v>26</v>
      </c>
      <c r="W164" s="119">
        <v>4.0</v>
      </c>
    </row>
    <row r="165" ht="15.75" customHeight="1">
      <c r="J165" s="113">
        <v>1.0</v>
      </c>
      <c r="K165" s="114" t="s">
        <v>112</v>
      </c>
      <c r="L165" s="115">
        <v>45960.67291666667</v>
      </c>
      <c r="M165" s="115">
        <v>45960.77569444444</v>
      </c>
      <c r="N165" s="48">
        <f t="shared" si="3"/>
        <v>0.1027777778</v>
      </c>
      <c r="O165" s="48">
        <f t="shared" si="4"/>
        <v>148</v>
      </c>
      <c r="P165" s="116">
        <v>8.0</v>
      </c>
      <c r="S165" s="48">
        <f t="shared" si="5"/>
        <v>0.005555555552</v>
      </c>
      <c r="T165" s="110">
        <f t="shared" si="6"/>
        <v>7.999999995</v>
      </c>
      <c r="W165" s="119">
        <v>26.0</v>
      </c>
    </row>
    <row r="166" ht="15.75" customHeight="1">
      <c r="J166" s="113">
        <v>1.0</v>
      </c>
      <c r="K166" s="114" t="s">
        <v>139</v>
      </c>
      <c r="L166" s="115">
        <v>45960.67847222222</v>
      </c>
      <c r="M166" s="115">
        <v>45960.70694444444</v>
      </c>
      <c r="N166" s="48">
        <f t="shared" si="3"/>
        <v>0.02847222222</v>
      </c>
      <c r="O166" s="48">
        <f t="shared" si="4"/>
        <v>41</v>
      </c>
      <c r="P166" s="116">
        <v>1.0</v>
      </c>
      <c r="S166" s="48">
        <f t="shared" si="5"/>
        <v>0.0006944444467</v>
      </c>
      <c r="T166" s="110">
        <f t="shared" si="6"/>
        <v>1.000000003</v>
      </c>
      <c r="W166" s="119">
        <v>8.0</v>
      </c>
    </row>
    <row r="167" ht="15.75" customHeight="1">
      <c r="J167" s="113">
        <v>1.0</v>
      </c>
      <c r="K167" s="114" t="s">
        <v>112</v>
      </c>
      <c r="L167" s="115">
        <v>45960.67916666667</v>
      </c>
      <c r="M167" s="115">
        <v>45960.77569444444</v>
      </c>
      <c r="N167" s="48">
        <f t="shared" si="3"/>
        <v>0.09652777777</v>
      </c>
      <c r="O167" s="48">
        <f t="shared" si="4"/>
        <v>139</v>
      </c>
      <c r="P167" s="116">
        <v>6.0</v>
      </c>
      <c r="S167" s="48">
        <f t="shared" si="5"/>
        <v>0.004166666666</v>
      </c>
      <c r="T167" s="110">
        <f t="shared" si="6"/>
        <v>5.999999999</v>
      </c>
      <c r="W167" s="119">
        <v>1.0</v>
      </c>
    </row>
    <row r="168" ht="15.75" customHeight="1">
      <c r="J168" s="113">
        <v>1.0</v>
      </c>
      <c r="K168" s="114" t="s">
        <v>134</v>
      </c>
      <c r="L168" s="115">
        <v>45960.683333333334</v>
      </c>
      <c r="M168" s="115">
        <v>45960.75277777778</v>
      </c>
      <c r="N168" s="48">
        <f t="shared" si="3"/>
        <v>0.06944444445</v>
      </c>
      <c r="O168" s="48">
        <f t="shared" si="4"/>
        <v>100</v>
      </c>
      <c r="P168" s="116">
        <v>1.0</v>
      </c>
      <c r="S168" s="48">
        <f t="shared" si="5"/>
        <v>0.0006944444467</v>
      </c>
      <c r="T168" s="110">
        <f t="shared" si="6"/>
        <v>1.000000003</v>
      </c>
      <c r="W168" s="119">
        <v>6.0</v>
      </c>
    </row>
    <row r="169" ht="15.75" customHeight="1">
      <c r="J169" s="113">
        <v>1.0</v>
      </c>
      <c r="K169" s="114" t="s">
        <v>127</v>
      </c>
      <c r="L169" s="115">
        <v>45960.68402777778</v>
      </c>
      <c r="M169" s="115">
        <v>45960.76944444444</v>
      </c>
      <c r="N169" s="48">
        <f t="shared" si="3"/>
        <v>0.08541666666</v>
      </c>
      <c r="O169" s="48">
        <f t="shared" si="4"/>
        <v>123</v>
      </c>
      <c r="P169" s="116">
        <v>3.0</v>
      </c>
      <c r="S169" s="48">
        <f t="shared" si="5"/>
        <v>0.002083333333</v>
      </c>
      <c r="T169" s="110">
        <f t="shared" si="6"/>
        <v>2.999999999</v>
      </c>
      <c r="W169" s="119">
        <v>1.0</v>
      </c>
    </row>
    <row r="170" ht="15.75" customHeight="1">
      <c r="J170" s="113">
        <v>1.0</v>
      </c>
      <c r="K170" s="114" t="s">
        <v>112</v>
      </c>
      <c r="L170" s="115">
        <v>45960.686111111114</v>
      </c>
      <c r="M170" s="115">
        <v>45960.845138888886</v>
      </c>
      <c r="N170" s="48">
        <f t="shared" si="3"/>
        <v>0.1590277778</v>
      </c>
      <c r="O170" s="48">
        <f t="shared" si="4"/>
        <v>229</v>
      </c>
      <c r="P170" s="116">
        <v>10.0</v>
      </c>
      <c r="S170" s="48">
        <f t="shared" si="5"/>
        <v>0.006944444445</v>
      </c>
      <c r="T170" s="110">
        <f t="shared" si="6"/>
        <v>10</v>
      </c>
      <c r="W170" s="119">
        <v>3.0</v>
      </c>
    </row>
    <row r="171" ht="15.75" customHeight="1">
      <c r="J171" s="113">
        <v>1.0</v>
      </c>
      <c r="K171" s="114" t="s">
        <v>131</v>
      </c>
      <c r="L171" s="115">
        <v>45960.69305555556</v>
      </c>
      <c r="M171" s="115">
        <v>45960.77569444444</v>
      </c>
      <c r="N171" s="48">
        <f t="shared" si="3"/>
        <v>0.08263888888</v>
      </c>
      <c r="O171" s="48">
        <f t="shared" si="4"/>
        <v>119</v>
      </c>
      <c r="P171" s="116">
        <v>3.0</v>
      </c>
      <c r="S171" s="48">
        <f t="shared" si="5"/>
        <v>0.002083333333</v>
      </c>
      <c r="T171" s="110">
        <f t="shared" si="6"/>
        <v>2.999999999</v>
      </c>
      <c r="W171" s="119">
        <v>10.0</v>
      </c>
    </row>
    <row r="172" ht="15.75" customHeight="1">
      <c r="J172" s="113">
        <v>1.0</v>
      </c>
      <c r="K172" s="114" t="s">
        <v>135</v>
      </c>
      <c r="L172" s="115">
        <v>45960.69513888889</v>
      </c>
      <c r="M172" s="115">
        <v>45960.845138888886</v>
      </c>
      <c r="N172" s="48">
        <f t="shared" si="3"/>
        <v>0.15</v>
      </c>
      <c r="O172" s="48">
        <f t="shared" si="4"/>
        <v>216</v>
      </c>
      <c r="P172" s="116">
        <v>8.0</v>
      </c>
      <c r="S172" s="48">
        <f t="shared" si="5"/>
        <v>0.005555555552</v>
      </c>
      <c r="T172" s="110">
        <f t="shared" si="6"/>
        <v>7.999999995</v>
      </c>
      <c r="W172" s="119">
        <v>3.0</v>
      </c>
    </row>
    <row r="173" ht="15.75" customHeight="1">
      <c r="J173" s="113">
        <v>1.0</v>
      </c>
      <c r="K173" s="114" t="s">
        <v>135</v>
      </c>
      <c r="L173" s="115">
        <v>45960.700694444444</v>
      </c>
      <c r="M173" s="115">
        <v>45960.8875</v>
      </c>
      <c r="N173" s="48">
        <f t="shared" si="3"/>
        <v>0.1868055556</v>
      </c>
      <c r="O173" s="48">
        <f t="shared" si="4"/>
        <v>269</v>
      </c>
      <c r="P173" s="116">
        <v>11.0</v>
      </c>
      <c r="S173" s="48">
        <f t="shared" si="5"/>
        <v>0.007638888892</v>
      </c>
      <c r="T173" s="110">
        <f t="shared" si="6"/>
        <v>11</v>
      </c>
      <c r="W173" s="119">
        <v>8.0</v>
      </c>
    </row>
    <row r="174" ht="15.75" customHeight="1">
      <c r="J174" s="113">
        <v>1.0</v>
      </c>
      <c r="K174" s="114" t="s">
        <v>140</v>
      </c>
      <c r="L174" s="115">
        <v>45960.708333333336</v>
      </c>
      <c r="M174" s="115">
        <v>45960.720138888886</v>
      </c>
      <c r="N174" s="48">
        <f t="shared" si="3"/>
        <v>0.01180555555</v>
      </c>
      <c r="O174" s="48">
        <f t="shared" si="4"/>
        <v>16.99999999</v>
      </c>
      <c r="P174" s="116">
        <v>0.0</v>
      </c>
      <c r="S174" s="48">
        <f t="shared" si="5"/>
        <v>0</v>
      </c>
      <c r="T174" s="110">
        <f t="shared" si="6"/>
        <v>0</v>
      </c>
      <c r="W174" s="119">
        <v>11.0</v>
      </c>
    </row>
    <row r="175" ht="15.75" customHeight="1">
      <c r="J175" s="113">
        <v>1.0</v>
      </c>
      <c r="K175" s="114" t="s">
        <v>141</v>
      </c>
      <c r="L175" s="115">
        <v>45960.708333333336</v>
      </c>
      <c r="M175" s="115">
        <v>45960.90972222222</v>
      </c>
      <c r="N175" s="48">
        <f t="shared" si="3"/>
        <v>0.2013888889</v>
      </c>
      <c r="O175" s="48">
        <f t="shared" si="4"/>
        <v>290</v>
      </c>
      <c r="P175" s="116">
        <v>0.0</v>
      </c>
      <c r="S175" s="48">
        <f t="shared" si="5"/>
        <v>0</v>
      </c>
      <c r="T175" s="110">
        <f t="shared" si="6"/>
        <v>0</v>
      </c>
      <c r="W175" s="119">
        <v>24.0</v>
      </c>
    </row>
    <row r="176" ht="15.75" customHeight="1">
      <c r="J176" s="113">
        <v>1.0</v>
      </c>
      <c r="K176" s="114" t="s">
        <v>125</v>
      </c>
      <c r="L176" s="115">
        <v>45960.708333333336</v>
      </c>
      <c r="M176" s="115">
        <v>45960.76527777778</v>
      </c>
      <c r="N176" s="48">
        <f t="shared" si="3"/>
        <v>0.05694444444</v>
      </c>
      <c r="O176" s="48">
        <f t="shared" si="4"/>
        <v>81.99999999</v>
      </c>
      <c r="P176" s="116">
        <v>0.0</v>
      </c>
      <c r="S176" s="48">
        <f t="shared" si="5"/>
        <v>0</v>
      </c>
      <c r="T176" s="110">
        <f t="shared" si="6"/>
        <v>0</v>
      </c>
      <c r="W176" s="119">
        <v>11.0</v>
      </c>
    </row>
    <row r="177" ht="15.75" customHeight="1">
      <c r="J177" s="113">
        <v>1.0</v>
      </c>
      <c r="K177" s="114" t="s">
        <v>140</v>
      </c>
      <c r="L177" s="115">
        <v>45960.708333333336</v>
      </c>
      <c r="M177" s="115">
        <v>45960.70486111111</v>
      </c>
      <c r="N177" s="48">
        <f t="shared" si="3"/>
        <v>-0.003472222226</v>
      </c>
      <c r="O177" s="48">
        <f t="shared" si="4"/>
        <v>-5.000000006</v>
      </c>
      <c r="P177" s="116">
        <v>0.0</v>
      </c>
      <c r="S177" s="48">
        <f t="shared" si="5"/>
        <v>0</v>
      </c>
      <c r="T177" s="110">
        <f t="shared" si="6"/>
        <v>0</v>
      </c>
      <c r="W177" s="119">
        <v>7.0</v>
      </c>
    </row>
    <row r="178" ht="15.75" customHeight="1">
      <c r="J178" s="113">
        <v>1.0</v>
      </c>
      <c r="K178" s="114" t="s">
        <v>120</v>
      </c>
      <c r="L178" s="115">
        <v>45960.708333333336</v>
      </c>
      <c r="M178" s="115">
        <v>45960.84375</v>
      </c>
      <c r="N178" s="48">
        <f t="shared" si="3"/>
        <v>0.1354166667</v>
      </c>
      <c r="O178" s="48">
        <f t="shared" si="4"/>
        <v>195</v>
      </c>
      <c r="P178" s="116">
        <v>0.0</v>
      </c>
      <c r="S178" s="48">
        <f t="shared" si="5"/>
        <v>0</v>
      </c>
      <c r="T178" s="110">
        <f t="shared" si="6"/>
        <v>0</v>
      </c>
      <c r="W178" s="119">
        <v>5.0</v>
      </c>
    </row>
    <row r="179" ht="15.75" customHeight="1">
      <c r="J179" s="113">
        <v>1.0</v>
      </c>
      <c r="K179" s="114" t="s">
        <v>124</v>
      </c>
      <c r="L179" s="115">
        <v>45960.708333333336</v>
      </c>
      <c r="M179" s="115">
        <v>45960.70625</v>
      </c>
      <c r="N179" s="48">
        <f t="shared" si="3"/>
        <v>-0.002083333333</v>
      </c>
      <c r="O179" s="48">
        <f t="shared" si="4"/>
        <v>-2.999999999</v>
      </c>
      <c r="P179" s="116">
        <v>0.0</v>
      </c>
      <c r="S179" s="48">
        <f t="shared" si="5"/>
        <v>0</v>
      </c>
      <c r="T179" s="110">
        <f t="shared" si="6"/>
        <v>0</v>
      </c>
      <c r="W179" s="119">
        <v>0.0</v>
      </c>
    </row>
    <row r="180" ht="15.75" customHeight="1">
      <c r="J180" s="113">
        <v>1.0</v>
      </c>
      <c r="K180" s="114" t="s">
        <v>130</v>
      </c>
      <c r="L180" s="115">
        <v>45960.708333333336</v>
      </c>
      <c r="M180" s="115">
        <v>45960.71805555555</v>
      </c>
      <c r="N180" s="48">
        <f t="shared" si="3"/>
        <v>0.009722222218</v>
      </c>
      <c r="O180" s="48">
        <f t="shared" si="4"/>
        <v>13.99999999</v>
      </c>
      <c r="P180" s="116">
        <v>0.0</v>
      </c>
      <c r="S180" s="48">
        <f t="shared" si="5"/>
        <v>0</v>
      </c>
      <c r="T180" s="110">
        <f t="shared" si="6"/>
        <v>0</v>
      </c>
      <c r="W180" s="119">
        <v>3.0</v>
      </c>
    </row>
    <row r="181" ht="15.75" customHeight="1">
      <c r="J181" s="113">
        <v>1.0</v>
      </c>
      <c r="K181" s="114" t="s">
        <v>130</v>
      </c>
      <c r="L181" s="115">
        <v>45960.708333333336</v>
      </c>
      <c r="M181" s="115">
        <v>45960.71944444445</v>
      </c>
      <c r="N181" s="48">
        <f t="shared" si="3"/>
        <v>0.01111111111</v>
      </c>
      <c r="O181" s="48">
        <f t="shared" si="4"/>
        <v>16</v>
      </c>
      <c r="P181" s="116">
        <v>0.0</v>
      </c>
      <c r="S181" s="48">
        <f t="shared" si="5"/>
        <v>0</v>
      </c>
      <c r="T181" s="110">
        <f t="shared" si="6"/>
        <v>0</v>
      </c>
      <c r="W181" s="119">
        <v>8.0</v>
      </c>
    </row>
    <row r="182" ht="15.75" customHeight="1">
      <c r="J182" s="113">
        <v>1.0</v>
      </c>
      <c r="K182" s="114" t="s">
        <v>122</v>
      </c>
      <c r="L182" s="115">
        <v>45960.708333333336</v>
      </c>
      <c r="M182" s="115">
        <v>45960.76666666667</v>
      </c>
      <c r="N182" s="48">
        <f t="shared" si="3"/>
        <v>0.05833333333</v>
      </c>
      <c r="O182" s="48">
        <f t="shared" si="4"/>
        <v>84</v>
      </c>
      <c r="P182" s="116">
        <v>0.0</v>
      </c>
      <c r="S182" s="48">
        <f t="shared" si="5"/>
        <v>0</v>
      </c>
      <c r="T182" s="110">
        <f t="shared" si="6"/>
        <v>0</v>
      </c>
      <c r="W182" s="119">
        <v>11.0</v>
      </c>
    </row>
    <row r="183" ht="15.75" customHeight="1">
      <c r="J183" s="113">
        <v>1.0</v>
      </c>
      <c r="K183" s="114" t="s">
        <v>122</v>
      </c>
      <c r="L183" s="115">
        <v>45960.708333333336</v>
      </c>
      <c r="M183" s="115">
        <v>45960.76666666667</v>
      </c>
      <c r="N183" s="48">
        <f t="shared" si="3"/>
        <v>0.05833333333</v>
      </c>
      <c r="O183" s="48">
        <f t="shared" si="4"/>
        <v>84</v>
      </c>
      <c r="P183" s="116">
        <v>0.0</v>
      </c>
      <c r="S183" s="48">
        <f t="shared" si="5"/>
        <v>0</v>
      </c>
      <c r="T183" s="110">
        <f t="shared" si="6"/>
        <v>0</v>
      </c>
      <c r="W183" s="119">
        <v>2.0</v>
      </c>
    </row>
    <row r="184" ht="15.75" customHeight="1">
      <c r="J184" s="113">
        <v>1.0</v>
      </c>
      <c r="K184" s="114" t="s">
        <v>140</v>
      </c>
      <c r="L184" s="115">
        <v>45960.708333333336</v>
      </c>
      <c r="M184" s="115">
        <v>45960.768055555556</v>
      </c>
      <c r="N184" s="48">
        <f t="shared" si="3"/>
        <v>0.05972222222</v>
      </c>
      <c r="O184" s="48">
        <f t="shared" si="4"/>
        <v>86</v>
      </c>
      <c r="P184" s="116">
        <v>0.0</v>
      </c>
      <c r="S184" s="48">
        <f t="shared" si="5"/>
        <v>0</v>
      </c>
      <c r="T184" s="110">
        <f t="shared" si="6"/>
        <v>0</v>
      </c>
      <c r="W184" s="119">
        <v>24.0</v>
      </c>
    </row>
    <row r="185" ht="15.75" customHeight="1">
      <c r="J185" s="113">
        <v>1.0</v>
      </c>
      <c r="K185" s="114" t="s">
        <v>130</v>
      </c>
      <c r="L185" s="115">
        <v>45960.708333333336</v>
      </c>
      <c r="M185" s="115">
        <v>45960.71805555555</v>
      </c>
      <c r="N185" s="48">
        <f t="shared" si="3"/>
        <v>0.009722222218</v>
      </c>
      <c r="O185" s="48">
        <f t="shared" si="4"/>
        <v>13.99999999</v>
      </c>
      <c r="P185" s="116">
        <v>0.0</v>
      </c>
      <c r="S185" s="48">
        <f t="shared" si="5"/>
        <v>0</v>
      </c>
      <c r="T185" s="110">
        <f t="shared" si="6"/>
        <v>0</v>
      </c>
      <c r="W185" s="119">
        <v>1.0</v>
      </c>
    </row>
    <row r="186" ht="15.75" customHeight="1">
      <c r="J186" s="113">
        <v>1.0</v>
      </c>
      <c r="K186" s="114" t="s">
        <v>133</v>
      </c>
      <c r="L186" s="115">
        <v>45960.708333333336</v>
      </c>
      <c r="M186" s="115">
        <v>45960.84444444445</v>
      </c>
      <c r="N186" s="48">
        <f t="shared" si="3"/>
        <v>0.1361111111</v>
      </c>
      <c r="O186" s="48">
        <f t="shared" si="4"/>
        <v>196</v>
      </c>
      <c r="P186" s="116">
        <v>0.0</v>
      </c>
      <c r="S186" s="48">
        <f t="shared" si="5"/>
        <v>0</v>
      </c>
      <c r="T186" s="110">
        <f t="shared" si="6"/>
        <v>0</v>
      </c>
      <c r="W186" s="119">
        <v>0.0</v>
      </c>
    </row>
    <row r="187" ht="15.75" customHeight="1">
      <c r="J187" s="113">
        <v>1.0</v>
      </c>
      <c r="K187" s="114" t="s">
        <v>142</v>
      </c>
      <c r="L187" s="115">
        <v>45960.708333333336</v>
      </c>
      <c r="M187" s="115">
        <v>45960.842361111114</v>
      </c>
      <c r="N187" s="48">
        <f t="shared" si="3"/>
        <v>0.1340277778</v>
      </c>
      <c r="O187" s="48">
        <f t="shared" si="4"/>
        <v>193</v>
      </c>
      <c r="P187" s="116">
        <v>0.0</v>
      </c>
      <c r="S187" s="48">
        <f t="shared" si="5"/>
        <v>0</v>
      </c>
      <c r="T187" s="110">
        <f t="shared" si="6"/>
        <v>0</v>
      </c>
      <c r="W187" s="119">
        <v>13.0</v>
      </c>
    </row>
    <row r="188" ht="15.75" customHeight="1">
      <c r="J188" s="113">
        <v>1.0</v>
      </c>
      <c r="K188" s="114" t="s">
        <v>121</v>
      </c>
      <c r="L188" s="115">
        <v>45960.708333333336</v>
      </c>
      <c r="M188" s="115">
        <v>45960.76944444444</v>
      </c>
      <c r="N188" s="48">
        <f t="shared" si="3"/>
        <v>0.06111111111</v>
      </c>
      <c r="O188" s="48">
        <f t="shared" si="4"/>
        <v>87.99999999</v>
      </c>
      <c r="P188" s="116">
        <v>0.0</v>
      </c>
      <c r="S188" s="48">
        <f t="shared" si="5"/>
        <v>0</v>
      </c>
      <c r="T188" s="110">
        <f t="shared" si="6"/>
        <v>0</v>
      </c>
      <c r="W188" s="119">
        <v>20.0</v>
      </c>
    </row>
    <row r="189" ht="15.75" customHeight="1">
      <c r="J189" s="113">
        <v>1.0</v>
      </c>
      <c r="K189" s="114" t="s">
        <v>124</v>
      </c>
      <c r="L189" s="115">
        <v>45960.708333333336</v>
      </c>
      <c r="M189" s="115">
        <v>45960.70625</v>
      </c>
      <c r="N189" s="48">
        <f t="shared" si="3"/>
        <v>-0.002083333333</v>
      </c>
      <c r="O189" s="48">
        <f t="shared" si="4"/>
        <v>-2.999999999</v>
      </c>
      <c r="P189" s="116">
        <v>0.0</v>
      </c>
      <c r="S189" s="48">
        <f t="shared" si="5"/>
        <v>0</v>
      </c>
      <c r="T189" s="110">
        <f t="shared" si="6"/>
        <v>0</v>
      </c>
      <c r="W189" s="119">
        <v>51.0</v>
      </c>
    </row>
    <row r="190" ht="15.75" customHeight="1">
      <c r="J190" s="113">
        <v>1.0</v>
      </c>
      <c r="K190" s="114" t="s">
        <v>140</v>
      </c>
      <c r="L190" s="115">
        <v>45960.708333333336</v>
      </c>
      <c r="M190" s="115">
        <v>45960.71944444445</v>
      </c>
      <c r="N190" s="48">
        <f t="shared" si="3"/>
        <v>0.01111111111</v>
      </c>
      <c r="O190" s="48">
        <f t="shared" si="4"/>
        <v>16</v>
      </c>
      <c r="P190" s="116">
        <v>0.0</v>
      </c>
      <c r="S190" s="48">
        <f t="shared" si="5"/>
        <v>0</v>
      </c>
      <c r="T190" s="110">
        <f t="shared" si="6"/>
        <v>0</v>
      </c>
      <c r="W190" s="119">
        <v>8.0</v>
      </c>
    </row>
    <row r="191" ht="15.75" customHeight="1">
      <c r="J191" s="113">
        <v>1.0</v>
      </c>
      <c r="K191" s="114" t="s">
        <v>133</v>
      </c>
      <c r="L191" s="115">
        <v>45960.708333333336</v>
      </c>
      <c r="M191" s="115">
        <v>45960.80694444444</v>
      </c>
      <c r="N191" s="48">
        <f t="shared" si="3"/>
        <v>0.09861111111</v>
      </c>
      <c r="O191" s="48">
        <f t="shared" si="4"/>
        <v>142</v>
      </c>
      <c r="P191" s="116">
        <v>0.0</v>
      </c>
      <c r="S191" s="48">
        <f t="shared" si="5"/>
        <v>0</v>
      </c>
      <c r="T191" s="110">
        <f t="shared" si="6"/>
        <v>0</v>
      </c>
      <c r="W191" s="119">
        <v>0.0</v>
      </c>
    </row>
    <row r="192" ht="15.75" customHeight="1">
      <c r="J192" s="113">
        <v>1.0</v>
      </c>
      <c r="K192" s="114" t="s">
        <v>133</v>
      </c>
      <c r="L192" s="115">
        <v>45960.708333333336</v>
      </c>
      <c r="M192" s="115">
        <v>45960.84375</v>
      </c>
      <c r="N192" s="48">
        <f t="shared" si="3"/>
        <v>0.1354166667</v>
      </c>
      <c r="O192" s="48">
        <f t="shared" si="4"/>
        <v>195</v>
      </c>
      <c r="P192" s="116">
        <v>0.0</v>
      </c>
      <c r="S192" s="48">
        <f t="shared" si="5"/>
        <v>0</v>
      </c>
      <c r="T192" s="110">
        <f t="shared" si="6"/>
        <v>0</v>
      </c>
      <c r="W192" s="119">
        <v>9.0</v>
      </c>
    </row>
    <row r="193" ht="15.75" customHeight="1">
      <c r="J193" s="113">
        <v>1.0</v>
      </c>
      <c r="K193" s="114" t="s">
        <v>143</v>
      </c>
      <c r="L193" s="115">
        <v>45960.708333333336</v>
      </c>
      <c r="M193" s="115">
        <v>45960.80694444444</v>
      </c>
      <c r="N193" s="48">
        <f t="shared" si="3"/>
        <v>0.09861111111</v>
      </c>
      <c r="O193" s="48">
        <f t="shared" si="4"/>
        <v>142</v>
      </c>
      <c r="P193" s="116">
        <v>0.0</v>
      </c>
      <c r="S193" s="48">
        <f t="shared" si="5"/>
        <v>0</v>
      </c>
      <c r="T193" s="110">
        <f t="shared" si="6"/>
        <v>0</v>
      </c>
      <c r="W193" s="119">
        <v>4.0</v>
      </c>
    </row>
    <row r="194" ht="15.75" customHeight="1">
      <c r="J194" s="113">
        <v>1.0</v>
      </c>
      <c r="K194" s="114" t="s">
        <v>130</v>
      </c>
      <c r="L194" s="115">
        <v>45960.708333333336</v>
      </c>
      <c r="M194" s="115">
        <v>45960.71875</v>
      </c>
      <c r="N194" s="48">
        <f t="shared" si="3"/>
        <v>0.01041666666</v>
      </c>
      <c r="O194" s="48">
        <f t="shared" si="4"/>
        <v>15</v>
      </c>
      <c r="P194" s="116">
        <v>0.0</v>
      </c>
      <c r="S194" s="48">
        <f t="shared" si="5"/>
        <v>0</v>
      </c>
      <c r="T194" s="110">
        <f t="shared" si="6"/>
        <v>0</v>
      </c>
      <c r="W194" s="119">
        <v>0.0</v>
      </c>
    </row>
    <row r="195" ht="15.75" customHeight="1">
      <c r="J195" s="113">
        <v>1.0</v>
      </c>
      <c r="K195" s="114" t="s">
        <v>125</v>
      </c>
      <c r="L195" s="115">
        <v>45960.708333333336</v>
      </c>
      <c r="M195" s="115">
        <v>45960.76666666667</v>
      </c>
      <c r="N195" s="48">
        <f t="shared" si="3"/>
        <v>0.05833333333</v>
      </c>
      <c r="O195" s="48">
        <f t="shared" si="4"/>
        <v>84</v>
      </c>
      <c r="P195" s="116">
        <v>0.0</v>
      </c>
      <c r="S195" s="48">
        <f t="shared" si="5"/>
        <v>0</v>
      </c>
      <c r="T195" s="110">
        <f t="shared" si="6"/>
        <v>0</v>
      </c>
      <c r="W195" s="119">
        <v>6.0</v>
      </c>
    </row>
    <row r="196" ht="15.75" customHeight="1">
      <c r="J196" s="113">
        <v>1.0</v>
      </c>
      <c r="K196" s="114" t="s">
        <v>130</v>
      </c>
      <c r="L196" s="115">
        <v>45960.708333333336</v>
      </c>
      <c r="M196" s="115">
        <v>45960.76736111111</v>
      </c>
      <c r="N196" s="48">
        <f t="shared" si="3"/>
        <v>0.05902777777</v>
      </c>
      <c r="O196" s="48">
        <f t="shared" si="4"/>
        <v>84.99999999</v>
      </c>
      <c r="P196" s="116">
        <v>0.0</v>
      </c>
      <c r="S196" s="48">
        <f t="shared" si="5"/>
        <v>0</v>
      </c>
      <c r="T196" s="110">
        <f t="shared" si="6"/>
        <v>0</v>
      </c>
      <c r="W196" s="119">
        <v>6.0</v>
      </c>
    </row>
    <row r="197" ht="15.75" customHeight="1">
      <c r="J197" s="113">
        <v>1.0</v>
      </c>
      <c r="K197" s="114" t="s">
        <v>120</v>
      </c>
      <c r="L197" s="115">
        <v>45960.708333333336</v>
      </c>
      <c r="M197" s="115">
        <v>45960.84375</v>
      </c>
      <c r="N197" s="48">
        <f t="shared" si="3"/>
        <v>0.1354166667</v>
      </c>
      <c r="O197" s="48">
        <f t="shared" si="4"/>
        <v>195</v>
      </c>
      <c r="P197" s="116">
        <v>24.0</v>
      </c>
      <c r="S197" s="48">
        <f t="shared" si="5"/>
        <v>0.01666666666</v>
      </c>
      <c r="T197" s="110">
        <f t="shared" si="6"/>
        <v>23.99999999</v>
      </c>
      <c r="W197" s="119">
        <v>27.0</v>
      </c>
    </row>
    <row r="198" ht="15.75" customHeight="1">
      <c r="J198" s="113">
        <v>1.0</v>
      </c>
      <c r="K198" s="114" t="s">
        <v>112</v>
      </c>
      <c r="L198" s="115">
        <v>45960.725</v>
      </c>
      <c r="M198" s="115">
        <v>45960.8875</v>
      </c>
      <c r="N198" s="48">
        <f t="shared" si="3"/>
        <v>0.1625</v>
      </c>
      <c r="O198" s="48">
        <f t="shared" si="4"/>
        <v>234</v>
      </c>
      <c r="P198" s="116">
        <v>11.0</v>
      </c>
      <c r="S198" s="48">
        <f t="shared" si="5"/>
        <v>0.007638888892</v>
      </c>
      <c r="T198" s="110">
        <f t="shared" si="6"/>
        <v>11</v>
      </c>
      <c r="W198" s="119">
        <v>0.0</v>
      </c>
    </row>
    <row r="199" ht="15.75" customHeight="1">
      <c r="J199" s="113">
        <v>1.0</v>
      </c>
      <c r="K199" s="114" t="s">
        <v>138</v>
      </c>
      <c r="L199" s="115">
        <v>45960.73263888889</v>
      </c>
      <c r="M199" s="115">
        <v>45960.910416666666</v>
      </c>
      <c r="N199" s="48">
        <f t="shared" si="3"/>
        <v>0.1777777778</v>
      </c>
      <c r="O199" s="48">
        <f t="shared" si="4"/>
        <v>256</v>
      </c>
      <c r="P199" s="116">
        <v>7.0</v>
      </c>
      <c r="S199" s="48">
        <f t="shared" si="5"/>
        <v>0.004861111112</v>
      </c>
      <c r="T199" s="110">
        <f t="shared" si="6"/>
        <v>7.000000002</v>
      </c>
      <c r="W199" s="119">
        <v>0.0</v>
      </c>
    </row>
    <row r="200" ht="15.75" customHeight="1">
      <c r="J200" s="113">
        <v>1.0</v>
      </c>
      <c r="K200" s="114" t="s">
        <v>112</v>
      </c>
      <c r="L200" s="115">
        <v>45960.7375</v>
      </c>
      <c r="M200" s="115">
        <v>45960.845138888886</v>
      </c>
      <c r="N200" s="48">
        <f t="shared" si="3"/>
        <v>0.1076388889</v>
      </c>
      <c r="O200" s="48">
        <f t="shared" si="4"/>
        <v>155</v>
      </c>
      <c r="P200" s="116">
        <v>5.0</v>
      </c>
      <c r="S200" s="48">
        <f t="shared" si="5"/>
        <v>0.003472222219</v>
      </c>
      <c r="T200" s="110">
        <f t="shared" si="6"/>
        <v>4.999999995</v>
      </c>
      <c r="W200" s="119">
        <v>14.0</v>
      </c>
    </row>
    <row r="201" ht="15.75" customHeight="1">
      <c r="J201" s="113">
        <v>1.0</v>
      </c>
      <c r="K201" s="114" t="s">
        <v>112</v>
      </c>
      <c r="L201" s="115">
        <v>45960.74097222222</v>
      </c>
      <c r="M201" s="115">
        <v>45960.799305555556</v>
      </c>
      <c r="N201" s="48">
        <f t="shared" si="3"/>
        <v>0.05833333333</v>
      </c>
      <c r="O201" s="48">
        <f t="shared" si="4"/>
        <v>84</v>
      </c>
      <c r="P201" s="116">
        <v>0.0</v>
      </c>
      <c r="S201" s="48">
        <f t="shared" si="5"/>
        <v>0</v>
      </c>
      <c r="T201" s="110">
        <f t="shared" si="6"/>
        <v>0</v>
      </c>
      <c r="W201" s="119">
        <v>5.0</v>
      </c>
    </row>
    <row r="202" ht="15.75" customHeight="1">
      <c r="J202" s="113">
        <v>1.0</v>
      </c>
      <c r="K202" s="114" t="s">
        <v>138</v>
      </c>
      <c r="L202" s="115">
        <v>45960.74097222222</v>
      </c>
      <c r="M202" s="115">
        <v>45960.86319444444</v>
      </c>
      <c r="N202" s="48">
        <f t="shared" si="3"/>
        <v>0.1222222222</v>
      </c>
      <c r="O202" s="48">
        <f t="shared" si="4"/>
        <v>176</v>
      </c>
      <c r="P202" s="116">
        <v>3.0</v>
      </c>
      <c r="S202" s="48">
        <f t="shared" si="5"/>
        <v>0.002083333333</v>
      </c>
      <c r="T202" s="110">
        <f t="shared" si="6"/>
        <v>2.999999999</v>
      </c>
      <c r="W202" s="119">
        <v>7.0</v>
      </c>
    </row>
    <row r="203" ht="15.75" customHeight="1">
      <c r="J203" s="113">
        <v>1.0</v>
      </c>
      <c r="K203" s="114" t="s">
        <v>137</v>
      </c>
      <c r="L203" s="115">
        <v>45960.743055555555</v>
      </c>
      <c r="M203" s="115">
        <v>45960.84583333333</v>
      </c>
      <c r="N203" s="48">
        <f t="shared" si="3"/>
        <v>0.1027777778</v>
      </c>
      <c r="O203" s="48">
        <f t="shared" si="4"/>
        <v>148</v>
      </c>
      <c r="P203" s="116">
        <v>8.0</v>
      </c>
      <c r="S203" s="48">
        <f t="shared" si="5"/>
        <v>0.005555555559</v>
      </c>
      <c r="T203" s="110">
        <f t="shared" si="6"/>
        <v>8.000000005</v>
      </c>
      <c r="W203" s="119">
        <v>4.0</v>
      </c>
    </row>
    <row r="204" ht="15.75" customHeight="1">
      <c r="J204" s="113">
        <v>1.0</v>
      </c>
      <c r="K204" s="114" t="s">
        <v>112</v>
      </c>
      <c r="L204" s="115">
        <v>45960.748611111114</v>
      </c>
      <c r="M204" s="115">
        <v>45960.84583333333</v>
      </c>
      <c r="N204" s="48">
        <f t="shared" si="3"/>
        <v>0.09722222222</v>
      </c>
      <c r="O204" s="48">
        <f t="shared" si="4"/>
        <v>140</v>
      </c>
      <c r="P204" s="116">
        <v>11.0</v>
      </c>
      <c r="S204" s="48">
        <f t="shared" si="5"/>
        <v>0.007638888885</v>
      </c>
      <c r="T204" s="110">
        <f t="shared" si="6"/>
        <v>10.99999999</v>
      </c>
      <c r="W204" s="119">
        <v>5.0</v>
      </c>
    </row>
    <row r="205" ht="15.75" customHeight="1">
      <c r="J205" s="113">
        <v>1.0</v>
      </c>
      <c r="K205" s="114" t="s">
        <v>123</v>
      </c>
      <c r="L205" s="115">
        <v>45960.75625</v>
      </c>
      <c r="M205" s="115">
        <v>45960.84583333333</v>
      </c>
      <c r="N205" s="48">
        <f t="shared" si="3"/>
        <v>0.08958333333</v>
      </c>
      <c r="O205" s="48">
        <f t="shared" si="4"/>
        <v>129</v>
      </c>
      <c r="P205" s="116">
        <v>2.0</v>
      </c>
      <c r="S205" s="48">
        <f t="shared" si="5"/>
        <v>0.001388888893</v>
      </c>
      <c r="T205" s="110">
        <f t="shared" si="6"/>
        <v>2.000000007</v>
      </c>
      <c r="W205" s="119">
        <v>7.0</v>
      </c>
    </row>
    <row r="206" ht="15.75" customHeight="1">
      <c r="J206" s="113">
        <v>1.0</v>
      </c>
      <c r="K206" s="114" t="s">
        <v>135</v>
      </c>
      <c r="L206" s="115">
        <v>45960.75763888889</v>
      </c>
      <c r="M206" s="115">
        <v>45960.8875</v>
      </c>
      <c r="N206" s="48">
        <f t="shared" si="3"/>
        <v>0.1298611111</v>
      </c>
      <c r="O206" s="48">
        <f t="shared" si="4"/>
        <v>187</v>
      </c>
      <c r="P206" s="116">
        <v>24.0</v>
      </c>
      <c r="S206" s="48">
        <f t="shared" si="5"/>
        <v>0.01666666666</v>
      </c>
      <c r="T206" s="110">
        <f t="shared" si="6"/>
        <v>23.99999999</v>
      </c>
      <c r="W206" s="119">
        <v>10.0</v>
      </c>
    </row>
    <row r="207" ht="15.75" customHeight="1">
      <c r="J207" s="113">
        <v>1.0</v>
      </c>
      <c r="K207" s="114" t="s">
        <v>112</v>
      </c>
      <c r="L207" s="115">
        <v>45960.774305555555</v>
      </c>
      <c r="M207" s="115">
        <v>45960.90972222222</v>
      </c>
      <c r="N207" s="48">
        <f t="shared" si="3"/>
        <v>0.1354166667</v>
      </c>
      <c r="O207" s="48">
        <f t="shared" si="4"/>
        <v>195</v>
      </c>
      <c r="P207" s="116">
        <v>1.0</v>
      </c>
      <c r="S207" s="48">
        <f t="shared" si="5"/>
        <v>0.0006944444467</v>
      </c>
      <c r="T207" s="110">
        <f t="shared" si="6"/>
        <v>1.000000003</v>
      </c>
      <c r="W207" s="119">
        <v>15.0</v>
      </c>
    </row>
    <row r="208" ht="15.75" customHeight="1">
      <c r="J208" s="113">
        <v>1.0</v>
      </c>
      <c r="K208" s="114" t="s">
        <v>112</v>
      </c>
      <c r="L208" s="115">
        <v>45960.775</v>
      </c>
      <c r="M208" s="115">
        <v>45960.93958333333</v>
      </c>
      <c r="N208" s="48">
        <f t="shared" si="3"/>
        <v>0.1645833333</v>
      </c>
      <c r="O208" s="48">
        <f t="shared" si="4"/>
        <v>237</v>
      </c>
      <c r="P208" s="116">
        <v>0.0</v>
      </c>
      <c r="S208" s="48">
        <f t="shared" si="5"/>
        <v>0</v>
      </c>
      <c r="T208" s="110">
        <f t="shared" si="6"/>
        <v>0</v>
      </c>
      <c r="W208" s="119">
        <v>13.0</v>
      </c>
    </row>
    <row r="209" ht="15.75" customHeight="1">
      <c r="J209" s="113">
        <v>1.0</v>
      </c>
      <c r="K209" s="114" t="s">
        <v>121</v>
      </c>
      <c r="L209" s="115">
        <v>45960.775</v>
      </c>
      <c r="M209" s="115">
        <v>45960.90972222222</v>
      </c>
      <c r="N209" s="48">
        <f t="shared" si="3"/>
        <v>0.1347222222</v>
      </c>
      <c r="O209" s="48">
        <f t="shared" si="4"/>
        <v>194</v>
      </c>
      <c r="P209" s="116">
        <v>13.0</v>
      </c>
      <c r="S209" s="48">
        <f t="shared" si="5"/>
        <v>0.009027777778</v>
      </c>
      <c r="T209" s="110">
        <f t="shared" si="6"/>
        <v>13</v>
      </c>
      <c r="W209" s="119">
        <v>3.0</v>
      </c>
    </row>
    <row r="210" ht="15.75" customHeight="1">
      <c r="J210" s="113">
        <v>1.0</v>
      </c>
      <c r="K210" s="114" t="s">
        <v>112</v>
      </c>
      <c r="L210" s="115">
        <v>45960.78402777778</v>
      </c>
      <c r="M210" s="115">
        <v>45960.92291666667</v>
      </c>
      <c r="N210" s="48">
        <f t="shared" si="3"/>
        <v>0.1388888889</v>
      </c>
      <c r="O210" s="48">
        <f t="shared" si="4"/>
        <v>200</v>
      </c>
      <c r="P210" s="116">
        <v>20.0</v>
      </c>
      <c r="S210" s="48">
        <f t="shared" si="5"/>
        <v>0.01388888889</v>
      </c>
      <c r="T210" s="110">
        <f t="shared" si="6"/>
        <v>20</v>
      </c>
      <c r="W210" s="119">
        <v>6.0</v>
      </c>
    </row>
    <row r="211" ht="15.75" customHeight="1">
      <c r="J211" s="113">
        <v>1.0</v>
      </c>
      <c r="K211" s="114" t="s">
        <v>121</v>
      </c>
      <c r="L211" s="115">
        <v>45960.79791666667</v>
      </c>
      <c r="M211" s="115">
        <v>45961.02847222222</v>
      </c>
      <c r="N211" s="48">
        <f t="shared" si="3"/>
        <v>0.2305555556</v>
      </c>
      <c r="O211" s="48">
        <f t="shared" si="4"/>
        <v>332</v>
      </c>
      <c r="P211" s="116">
        <v>51.0</v>
      </c>
      <c r="S211" s="48">
        <f t="shared" si="5"/>
        <v>0.03541666667</v>
      </c>
      <c r="T211" s="110">
        <f t="shared" si="6"/>
        <v>51</v>
      </c>
      <c r="W211" s="119">
        <v>8.0</v>
      </c>
    </row>
    <row r="212" ht="15.75" customHeight="1">
      <c r="J212" s="113">
        <v>1.0</v>
      </c>
      <c r="K212" s="114" t="s">
        <v>137</v>
      </c>
      <c r="L212" s="115">
        <v>45960.833333333336</v>
      </c>
      <c r="M212" s="115">
        <v>45960.88680555556</v>
      </c>
      <c r="N212" s="48">
        <f t="shared" si="3"/>
        <v>0.05347222222</v>
      </c>
      <c r="O212" s="48">
        <f t="shared" si="4"/>
        <v>77</v>
      </c>
      <c r="P212" s="116">
        <v>8.0</v>
      </c>
      <c r="S212" s="48">
        <f t="shared" si="5"/>
        <v>0.005555555552</v>
      </c>
      <c r="T212" s="110">
        <f t="shared" si="6"/>
        <v>7.999999995</v>
      </c>
      <c r="W212" s="119">
        <v>2.0</v>
      </c>
    </row>
    <row r="213" ht="15.75" customHeight="1">
      <c r="J213" s="113">
        <v>1.0</v>
      </c>
      <c r="K213" s="114" t="s">
        <v>112</v>
      </c>
      <c r="L213" s="115">
        <v>45960.83888888889</v>
      </c>
      <c r="M213" s="115">
        <v>45961.01736111111</v>
      </c>
      <c r="N213" s="48">
        <f t="shared" si="3"/>
        <v>0.1784722222</v>
      </c>
      <c r="O213" s="48">
        <f t="shared" si="4"/>
        <v>257</v>
      </c>
      <c r="P213" s="116">
        <v>0.0</v>
      </c>
      <c r="S213" s="48">
        <f t="shared" si="5"/>
        <v>0</v>
      </c>
      <c r="T213" s="110">
        <f t="shared" si="6"/>
        <v>0</v>
      </c>
      <c r="W213" s="119">
        <v>1.0</v>
      </c>
    </row>
    <row r="214" ht="15.75" customHeight="1">
      <c r="J214" s="113">
        <v>1.0</v>
      </c>
      <c r="K214" s="114" t="s">
        <v>112</v>
      </c>
      <c r="L214" s="115">
        <v>45960.83888888889</v>
      </c>
      <c r="M214" s="115">
        <v>45961.01388888889</v>
      </c>
      <c r="N214" s="48">
        <f t="shared" si="3"/>
        <v>0.175</v>
      </c>
      <c r="O214" s="48">
        <f t="shared" si="4"/>
        <v>252</v>
      </c>
      <c r="P214" s="116">
        <v>9.0</v>
      </c>
      <c r="S214" s="48">
        <f t="shared" si="5"/>
        <v>0.006249999999</v>
      </c>
      <c r="T214" s="110">
        <f t="shared" si="6"/>
        <v>8.999999998</v>
      </c>
      <c r="W214" s="119">
        <v>13.0</v>
      </c>
    </row>
    <row r="215" ht="15.75" customHeight="1">
      <c r="J215" s="113">
        <v>1.0</v>
      </c>
      <c r="K215" s="114" t="s">
        <v>112</v>
      </c>
      <c r="L215" s="115">
        <v>45960.845138888886</v>
      </c>
      <c r="M215" s="115">
        <v>45960.967361111114</v>
      </c>
      <c r="N215" s="48">
        <f t="shared" si="3"/>
        <v>0.1222222222</v>
      </c>
      <c r="O215" s="48">
        <f t="shared" si="4"/>
        <v>176</v>
      </c>
      <c r="P215" s="116">
        <v>4.0</v>
      </c>
      <c r="S215" s="48">
        <f t="shared" si="5"/>
        <v>0.00277777778</v>
      </c>
      <c r="T215" s="110">
        <f t="shared" si="6"/>
        <v>4.000000003</v>
      </c>
      <c r="W215" s="119">
        <v>1.0</v>
      </c>
    </row>
    <row r="216" ht="15.75" customHeight="1">
      <c r="J216" s="113">
        <v>1.0</v>
      </c>
      <c r="K216" s="114" t="s">
        <v>112</v>
      </c>
      <c r="L216" s="115">
        <v>45960.847916666666</v>
      </c>
      <c r="M216" s="115">
        <v>45960.990277777775</v>
      </c>
      <c r="N216" s="48">
        <f t="shared" si="3"/>
        <v>0.1423611111</v>
      </c>
      <c r="O216" s="48">
        <f t="shared" si="4"/>
        <v>205</v>
      </c>
      <c r="P216" s="116">
        <v>0.0</v>
      </c>
      <c r="S216" s="48">
        <f t="shared" si="5"/>
        <v>0</v>
      </c>
      <c r="T216" s="110">
        <f t="shared" si="6"/>
        <v>0</v>
      </c>
      <c r="W216" s="119">
        <v>2.0</v>
      </c>
    </row>
    <row r="217" ht="15.75" customHeight="1">
      <c r="J217" s="113">
        <v>1.0</v>
      </c>
      <c r="K217" s="114" t="s">
        <v>119</v>
      </c>
      <c r="L217" s="115">
        <v>45960.847916666666</v>
      </c>
      <c r="M217" s="115">
        <v>45961.00277777778</v>
      </c>
      <c r="N217" s="48">
        <f t="shared" si="3"/>
        <v>0.1548611111</v>
      </c>
      <c r="O217" s="48">
        <f t="shared" si="4"/>
        <v>223</v>
      </c>
      <c r="P217" s="116">
        <v>6.0</v>
      </c>
      <c r="S217" s="48">
        <f t="shared" si="5"/>
        <v>0.004166666666</v>
      </c>
      <c r="T217" s="110">
        <f t="shared" si="6"/>
        <v>5.999999999</v>
      </c>
      <c r="W217" s="119">
        <v>15.0</v>
      </c>
    </row>
    <row r="218" ht="15.75" customHeight="1">
      <c r="J218" s="113">
        <v>1.0</v>
      </c>
      <c r="K218" s="114" t="s">
        <v>112</v>
      </c>
      <c r="L218" s="115">
        <v>45960.85208333333</v>
      </c>
      <c r="M218" s="115">
        <v>45961.01736111111</v>
      </c>
      <c r="N218" s="48">
        <f t="shared" si="3"/>
        <v>0.1652777778</v>
      </c>
      <c r="O218" s="48">
        <f t="shared" si="4"/>
        <v>238</v>
      </c>
      <c r="P218" s="116">
        <v>6.0</v>
      </c>
      <c r="S218" s="48">
        <f t="shared" si="5"/>
        <v>0.004166666666</v>
      </c>
      <c r="T218" s="110">
        <f t="shared" si="6"/>
        <v>5.999999999</v>
      </c>
      <c r="W218" s="119">
        <v>2.0</v>
      </c>
    </row>
    <row r="219" ht="15.75" customHeight="1">
      <c r="J219" s="113">
        <v>1.0</v>
      </c>
      <c r="K219" s="114" t="s">
        <v>112</v>
      </c>
      <c r="L219" s="115">
        <v>45960.85625</v>
      </c>
      <c r="M219" s="115">
        <v>45961.01388888889</v>
      </c>
      <c r="N219" s="48">
        <f t="shared" si="3"/>
        <v>0.1576388889</v>
      </c>
      <c r="O219" s="48">
        <f t="shared" si="4"/>
        <v>227</v>
      </c>
      <c r="P219" s="116">
        <v>27.0</v>
      </c>
      <c r="S219" s="48">
        <f t="shared" si="5"/>
        <v>0.01875</v>
      </c>
      <c r="T219" s="110">
        <f t="shared" si="6"/>
        <v>27</v>
      </c>
      <c r="W219" s="119">
        <v>7.0</v>
      </c>
    </row>
    <row r="220" ht="15.75" customHeight="1">
      <c r="J220" s="113">
        <v>1.0</v>
      </c>
      <c r="K220" s="114" t="s">
        <v>133</v>
      </c>
      <c r="L220" s="115">
        <v>45960.875</v>
      </c>
      <c r="M220" s="115">
        <v>45960.90972222222</v>
      </c>
      <c r="N220" s="48">
        <f t="shared" si="3"/>
        <v>0.03472222222</v>
      </c>
      <c r="O220" s="48">
        <f t="shared" si="4"/>
        <v>50</v>
      </c>
      <c r="P220" s="116">
        <v>0.0</v>
      </c>
      <c r="S220" s="48">
        <f t="shared" si="5"/>
        <v>0</v>
      </c>
      <c r="T220" s="110">
        <f t="shared" si="6"/>
        <v>0</v>
      </c>
      <c r="W220" s="119">
        <v>0.0</v>
      </c>
    </row>
    <row r="221" ht="15.75" customHeight="1">
      <c r="J221" s="113">
        <v>1.0</v>
      </c>
      <c r="K221" s="114" t="s">
        <v>133</v>
      </c>
      <c r="L221" s="115">
        <v>45960.875</v>
      </c>
      <c r="M221" s="115">
        <v>45960.90972222222</v>
      </c>
      <c r="N221" s="48">
        <f t="shared" si="3"/>
        <v>0.03472222222</v>
      </c>
      <c r="O221" s="48">
        <f t="shared" si="4"/>
        <v>50</v>
      </c>
      <c r="P221" s="116">
        <v>0.0</v>
      </c>
      <c r="S221" s="48">
        <f t="shared" si="5"/>
        <v>0</v>
      </c>
      <c r="T221" s="110">
        <f t="shared" si="6"/>
        <v>0</v>
      </c>
      <c r="W221" s="119">
        <v>10.0</v>
      </c>
    </row>
    <row r="222" ht="15.75" customHeight="1">
      <c r="J222" s="113">
        <v>1.0</v>
      </c>
      <c r="K222" s="114" t="s">
        <v>123</v>
      </c>
      <c r="L222" s="115">
        <v>45960.875</v>
      </c>
      <c r="M222" s="115">
        <v>45960.910416666666</v>
      </c>
      <c r="N222" s="48">
        <f t="shared" si="3"/>
        <v>0.03541666667</v>
      </c>
      <c r="O222" s="48">
        <f t="shared" si="4"/>
        <v>51</v>
      </c>
      <c r="P222" s="116">
        <v>14.0</v>
      </c>
      <c r="S222" s="48">
        <f t="shared" si="5"/>
        <v>0.009722222225</v>
      </c>
      <c r="T222" s="110">
        <f t="shared" si="6"/>
        <v>14</v>
      </c>
      <c r="W222" s="119">
        <v>1.0</v>
      </c>
    </row>
    <row r="223" ht="15.75" customHeight="1">
      <c r="J223" s="113">
        <v>1.0</v>
      </c>
      <c r="K223" s="114" t="s">
        <v>112</v>
      </c>
      <c r="L223" s="115">
        <v>45960.884722222225</v>
      </c>
      <c r="M223" s="115">
        <v>45960.990277777775</v>
      </c>
      <c r="N223" s="48">
        <f t="shared" si="3"/>
        <v>0.1055555556</v>
      </c>
      <c r="O223" s="48">
        <f t="shared" si="4"/>
        <v>152</v>
      </c>
      <c r="P223" s="116">
        <v>5.0</v>
      </c>
      <c r="S223" s="48">
        <f t="shared" si="5"/>
        <v>0.003472222219</v>
      </c>
      <c r="T223" s="110">
        <f t="shared" si="6"/>
        <v>4.999999995</v>
      </c>
      <c r="W223" s="119">
        <v>8.0</v>
      </c>
    </row>
    <row r="224" ht="15.75" customHeight="1">
      <c r="J224" s="113">
        <v>1.0</v>
      </c>
      <c r="K224" s="114" t="s">
        <v>112</v>
      </c>
      <c r="L224" s="115">
        <v>45960.888194444444</v>
      </c>
      <c r="M224" s="115">
        <v>45960.990277777775</v>
      </c>
      <c r="N224" s="48">
        <f t="shared" si="3"/>
        <v>0.1020833333</v>
      </c>
      <c r="O224" s="48">
        <f t="shared" si="4"/>
        <v>147</v>
      </c>
      <c r="P224" s="116">
        <v>7.0</v>
      </c>
      <c r="S224" s="48">
        <f t="shared" si="5"/>
        <v>0.004861111112</v>
      </c>
      <c r="T224" s="110">
        <f t="shared" si="6"/>
        <v>7.000000002</v>
      </c>
    </row>
    <row r="225" ht="15.75" customHeight="1">
      <c r="J225" s="113">
        <v>1.0</v>
      </c>
      <c r="K225" s="114" t="s">
        <v>126</v>
      </c>
      <c r="L225" s="115">
        <v>45960.893055555556</v>
      </c>
      <c r="M225" s="115">
        <v>45961.01388888889</v>
      </c>
      <c r="N225" s="48">
        <f t="shared" si="3"/>
        <v>0.1208333333</v>
      </c>
      <c r="O225" s="48">
        <f t="shared" si="4"/>
        <v>174</v>
      </c>
      <c r="P225" s="116">
        <v>4.0</v>
      </c>
      <c r="S225" s="48">
        <f t="shared" si="5"/>
        <v>0.00277777778</v>
      </c>
      <c r="T225" s="110">
        <f t="shared" si="6"/>
        <v>4.000000003</v>
      </c>
    </row>
    <row r="226" ht="15.75" customHeight="1">
      <c r="J226" s="113">
        <v>1.0</v>
      </c>
      <c r="K226" s="114" t="s">
        <v>112</v>
      </c>
      <c r="L226" s="115">
        <v>45960.895833333336</v>
      </c>
      <c r="M226" s="115">
        <v>45960.993055555555</v>
      </c>
      <c r="N226" s="48">
        <f t="shared" si="3"/>
        <v>0.09722222222</v>
      </c>
      <c r="O226" s="48">
        <f t="shared" si="4"/>
        <v>140</v>
      </c>
      <c r="P226" s="116">
        <v>5.0</v>
      </c>
      <c r="S226" s="48">
        <f t="shared" si="5"/>
        <v>0.003472222219</v>
      </c>
      <c r="T226" s="110">
        <f t="shared" si="6"/>
        <v>4.999999995</v>
      </c>
    </row>
    <row r="227" ht="15.75" customHeight="1">
      <c r="J227" s="113">
        <v>1.0</v>
      </c>
      <c r="K227" s="114" t="s">
        <v>112</v>
      </c>
      <c r="L227" s="115">
        <v>45960.899305555555</v>
      </c>
      <c r="M227" s="115">
        <v>45961.01388888889</v>
      </c>
      <c r="N227" s="48">
        <f t="shared" si="3"/>
        <v>0.1145833333</v>
      </c>
      <c r="O227" s="48">
        <f t="shared" si="4"/>
        <v>165</v>
      </c>
      <c r="P227" s="116">
        <v>7.0</v>
      </c>
      <c r="S227" s="48">
        <f t="shared" si="5"/>
        <v>0.004861111112</v>
      </c>
      <c r="T227" s="110">
        <f t="shared" si="6"/>
        <v>7.000000002</v>
      </c>
    </row>
    <row r="228" ht="15.75" customHeight="1">
      <c r="J228" s="113">
        <v>1.0</v>
      </c>
      <c r="K228" s="114" t="s">
        <v>112</v>
      </c>
      <c r="L228" s="115">
        <v>45960.90416666667</v>
      </c>
      <c r="M228" s="115">
        <v>45961.01736111111</v>
      </c>
      <c r="N228" s="48">
        <f t="shared" si="3"/>
        <v>0.1131944444</v>
      </c>
      <c r="O228" s="48">
        <f t="shared" si="4"/>
        <v>163</v>
      </c>
      <c r="P228" s="116">
        <v>10.0</v>
      </c>
      <c r="S228" s="48">
        <f t="shared" si="5"/>
        <v>0.006944444445</v>
      </c>
      <c r="T228" s="110">
        <f t="shared" si="6"/>
        <v>10</v>
      </c>
    </row>
    <row r="229" ht="15.75" customHeight="1">
      <c r="J229" s="113">
        <v>1.0</v>
      </c>
      <c r="K229" s="114" t="s">
        <v>112</v>
      </c>
      <c r="L229" s="115">
        <v>45960.91111111111</v>
      </c>
      <c r="M229" s="115">
        <v>45961.01458333333</v>
      </c>
      <c r="N229" s="48">
        <f t="shared" si="3"/>
        <v>0.1034722222</v>
      </c>
      <c r="O229" s="48">
        <f t="shared" si="4"/>
        <v>149</v>
      </c>
      <c r="P229" s="116">
        <v>15.0</v>
      </c>
      <c r="S229" s="48">
        <f t="shared" si="5"/>
        <v>0.01041666666</v>
      </c>
      <c r="T229" s="110">
        <f t="shared" si="6"/>
        <v>15</v>
      </c>
    </row>
    <row r="230" ht="15.75" customHeight="1">
      <c r="J230" s="113">
        <v>1.0</v>
      </c>
      <c r="K230" s="114" t="s">
        <v>139</v>
      </c>
      <c r="L230" s="115">
        <v>45960.92152777778</v>
      </c>
      <c r="M230" s="115">
        <v>45960.94583333333</v>
      </c>
      <c r="N230" s="48">
        <f t="shared" si="3"/>
        <v>0.02430555555</v>
      </c>
      <c r="O230" s="48">
        <f t="shared" si="4"/>
        <v>35</v>
      </c>
      <c r="P230" s="116">
        <v>13.0</v>
      </c>
      <c r="S230" s="48">
        <f t="shared" si="5"/>
        <v>0.009027777778</v>
      </c>
      <c r="T230" s="110">
        <f t="shared" si="6"/>
        <v>13</v>
      </c>
    </row>
    <row r="231" ht="15.75" customHeight="1">
      <c r="J231" s="113">
        <v>1.0</v>
      </c>
      <c r="K231" s="114" t="s">
        <v>112</v>
      </c>
      <c r="L231" s="115">
        <v>45960.930555555555</v>
      </c>
      <c r="M231" s="115">
        <v>45960.990277777775</v>
      </c>
      <c r="N231" s="48">
        <f t="shared" si="3"/>
        <v>0.05972222222</v>
      </c>
      <c r="O231" s="48">
        <f t="shared" si="4"/>
        <v>86</v>
      </c>
      <c r="P231" s="116">
        <v>3.0</v>
      </c>
      <c r="S231" s="48">
        <f t="shared" si="5"/>
        <v>0.002083333333</v>
      </c>
      <c r="T231" s="110">
        <f t="shared" si="6"/>
        <v>2.999999999</v>
      </c>
    </row>
    <row r="232" ht="15.75" customHeight="1">
      <c r="J232" s="113">
        <v>1.0</v>
      </c>
      <c r="K232" s="114" t="s">
        <v>118</v>
      </c>
      <c r="L232" s="115">
        <v>45960.93263888889</v>
      </c>
      <c r="M232" s="115">
        <v>45961.035416666666</v>
      </c>
      <c r="N232" s="48">
        <f t="shared" si="3"/>
        <v>0.1027777778</v>
      </c>
      <c r="O232" s="48">
        <f t="shared" si="4"/>
        <v>148</v>
      </c>
      <c r="P232" s="116">
        <v>6.0</v>
      </c>
      <c r="S232" s="48">
        <f t="shared" si="5"/>
        <v>0.004166666666</v>
      </c>
      <c r="T232" s="110">
        <f t="shared" si="6"/>
        <v>5.999999999</v>
      </c>
    </row>
    <row r="233" ht="15.75" customHeight="1">
      <c r="J233" s="113">
        <v>1.0</v>
      </c>
      <c r="K233" s="114" t="s">
        <v>112</v>
      </c>
      <c r="L233" s="115">
        <v>45960.93680555555</v>
      </c>
      <c r="M233" s="115">
        <v>45961.01180555556</v>
      </c>
      <c r="N233" s="48">
        <f t="shared" si="3"/>
        <v>0.075</v>
      </c>
      <c r="O233" s="48">
        <f t="shared" si="4"/>
        <v>108</v>
      </c>
      <c r="P233" s="116">
        <v>8.0</v>
      </c>
      <c r="S233" s="48">
        <f t="shared" si="5"/>
        <v>0.005555555559</v>
      </c>
      <c r="T233" s="110">
        <f t="shared" si="6"/>
        <v>8.000000005</v>
      </c>
    </row>
    <row r="234" ht="15.75" customHeight="1">
      <c r="J234" s="113">
        <v>1.0</v>
      </c>
      <c r="K234" s="114" t="s">
        <v>112</v>
      </c>
      <c r="L234" s="115">
        <v>45960.94236111111</v>
      </c>
      <c r="M234" s="115">
        <v>45961.08472222222</v>
      </c>
      <c r="N234" s="48">
        <f t="shared" si="3"/>
        <v>0.1423611111</v>
      </c>
      <c r="O234" s="48">
        <f t="shared" si="4"/>
        <v>205</v>
      </c>
      <c r="P234" s="116">
        <v>2.0</v>
      </c>
      <c r="S234" s="48">
        <f t="shared" si="5"/>
        <v>0.001388888886</v>
      </c>
      <c r="T234" s="110">
        <f t="shared" si="6"/>
        <v>1.999999996</v>
      </c>
    </row>
    <row r="235" ht="15.75" customHeight="1">
      <c r="J235" s="113">
        <v>1.0</v>
      </c>
      <c r="K235" s="114" t="s">
        <v>137</v>
      </c>
      <c r="L235" s="115">
        <v>45960.94375</v>
      </c>
      <c r="M235" s="115">
        <v>45960.98125</v>
      </c>
      <c r="N235" s="48">
        <f t="shared" si="3"/>
        <v>0.0375</v>
      </c>
      <c r="O235" s="48">
        <f t="shared" si="4"/>
        <v>54</v>
      </c>
      <c r="P235" s="116">
        <v>1.0</v>
      </c>
      <c r="S235" s="48">
        <f t="shared" si="5"/>
        <v>0.0006944444467</v>
      </c>
      <c r="T235" s="110">
        <f t="shared" si="6"/>
        <v>1.000000003</v>
      </c>
    </row>
    <row r="236" ht="15.75" customHeight="1">
      <c r="J236" s="113">
        <v>1.0</v>
      </c>
      <c r="K236" s="114" t="s">
        <v>112</v>
      </c>
      <c r="L236" s="115">
        <v>45960.944444444445</v>
      </c>
      <c r="M236" s="115">
        <v>45961.02222222222</v>
      </c>
      <c r="N236" s="48">
        <f t="shared" si="3"/>
        <v>0.07777777778</v>
      </c>
      <c r="O236" s="48">
        <f t="shared" si="4"/>
        <v>112</v>
      </c>
      <c r="P236" s="116">
        <v>13.0</v>
      </c>
      <c r="S236" s="48">
        <f t="shared" si="5"/>
        <v>0.009027777778</v>
      </c>
      <c r="T236" s="110">
        <f t="shared" si="6"/>
        <v>13</v>
      </c>
    </row>
    <row r="237" ht="15.75" customHeight="1">
      <c r="J237" s="113">
        <v>1.0</v>
      </c>
      <c r="K237" s="114" t="s">
        <v>112</v>
      </c>
      <c r="L237" s="115">
        <v>45960.95347222222</v>
      </c>
      <c r="M237" s="115">
        <v>45961.23541666667</v>
      </c>
      <c r="N237" s="48">
        <f t="shared" si="3"/>
        <v>0.2819444444</v>
      </c>
      <c r="O237" s="48">
        <f t="shared" si="4"/>
        <v>406</v>
      </c>
      <c r="P237" s="116">
        <v>1.0</v>
      </c>
      <c r="S237" s="48">
        <f t="shared" si="5"/>
        <v>0.0006944444467</v>
      </c>
      <c r="T237" s="110">
        <f t="shared" si="6"/>
        <v>1.000000003</v>
      </c>
    </row>
    <row r="238" ht="15.75" customHeight="1">
      <c r="J238" s="113">
        <v>1.0</v>
      </c>
      <c r="K238" s="114" t="s">
        <v>112</v>
      </c>
      <c r="L238" s="115">
        <v>45960.95416666667</v>
      </c>
      <c r="M238" s="115">
        <v>45961.02222222222</v>
      </c>
      <c r="N238" s="48">
        <f t="shared" si="3"/>
        <v>0.06805555555</v>
      </c>
      <c r="O238" s="48">
        <f t="shared" si="4"/>
        <v>97.99999999</v>
      </c>
      <c r="P238" s="116">
        <v>2.0</v>
      </c>
      <c r="S238" s="48">
        <f t="shared" si="5"/>
        <v>0.001388888886</v>
      </c>
      <c r="T238" s="110">
        <f t="shared" si="6"/>
        <v>1.999999996</v>
      </c>
    </row>
    <row r="239" ht="15.75" customHeight="1">
      <c r="J239" s="113">
        <v>1.0</v>
      </c>
      <c r="K239" s="114" t="s">
        <v>112</v>
      </c>
      <c r="L239" s="115">
        <v>45960.955555555556</v>
      </c>
      <c r="M239" s="115">
        <v>45961.02222222222</v>
      </c>
      <c r="N239" s="48">
        <f t="shared" si="3"/>
        <v>0.06666666667</v>
      </c>
      <c r="O239" s="48">
        <f t="shared" si="4"/>
        <v>96</v>
      </c>
      <c r="P239" s="116">
        <v>15.0</v>
      </c>
      <c r="S239" s="48">
        <f t="shared" si="5"/>
        <v>0.01041666666</v>
      </c>
      <c r="T239" s="110">
        <f t="shared" si="6"/>
        <v>15</v>
      </c>
    </row>
    <row r="240" ht="15.75" customHeight="1">
      <c r="J240" s="113">
        <v>1.0</v>
      </c>
      <c r="K240" s="114" t="s">
        <v>112</v>
      </c>
      <c r="L240" s="115">
        <v>45960.96597222222</v>
      </c>
      <c r="M240" s="115">
        <v>45961.02222222222</v>
      </c>
      <c r="N240" s="48">
        <f t="shared" si="3"/>
        <v>0.05625</v>
      </c>
      <c r="O240" s="48">
        <f t="shared" si="4"/>
        <v>81</v>
      </c>
      <c r="P240" s="116">
        <v>2.0</v>
      </c>
      <c r="S240" s="48">
        <f t="shared" si="5"/>
        <v>0.001388888893</v>
      </c>
      <c r="T240" s="110">
        <f t="shared" si="6"/>
        <v>2.000000007</v>
      </c>
    </row>
    <row r="241" ht="15.75" customHeight="1">
      <c r="J241" s="113">
        <v>1.0</v>
      </c>
      <c r="K241" s="114" t="s">
        <v>112</v>
      </c>
      <c r="L241" s="115">
        <v>45960.967361111114</v>
      </c>
      <c r="M241" s="115">
        <v>45961.08472222222</v>
      </c>
      <c r="N241" s="48">
        <f t="shared" si="3"/>
        <v>0.1173611111</v>
      </c>
      <c r="O241" s="48">
        <f t="shared" si="4"/>
        <v>169</v>
      </c>
      <c r="P241" s="116">
        <v>7.0</v>
      </c>
      <c r="S241" s="48">
        <f t="shared" si="5"/>
        <v>0.004861111105</v>
      </c>
      <c r="T241" s="110">
        <f t="shared" si="6"/>
        <v>6.999999991</v>
      </c>
    </row>
    <row r="242" ht="15.75" customHeight="1">
      <c r="J242" s="113">
        <v>1.0</v>
      </c>
      <c r="K242" s="114" t="s">
        <v>117</v>
      </c>
      <c r="L242" s="115">
        <v>45960.97222222222</v>
      </c>
      <c r="M242" s="115">
        <v>45961.08472222222</v>
      </c>
      <c r="N242" s="48">
        <f t="shared" si="3"/>
        <v>0.1125</v>
      </c>
      <c r="O242" s="48">
        <f t="shared" si="4"/>
        <v>162</v>
      </c>
      <c r="P242" s="116">
        <v>0.0</v>
      </c>
      <c r="S242" s="48">
        <f t="shared" si="5"/>
        <v>0</v>
      </c>
      <c r="T242" s="110">
        <f t="shared" si="6"/>
        <v>0</v>
      </c>
    </row>
    <row r="243" ht="15.75" customHeight="1">
      <c r="J243" s="113">
        <v>1.0</v>
      </c>
      <c r="K243" s="114" t="s">
        <v>112</v>
      </c>
      <c r="L243" s="115">
        <v>45960.97222222222</v>
      </c>
      <c r="M243" s="115">
        <v>45961.211805555555</v>
      </c>
      <c r="N243" s="48">
        <f t="shared" si="3"/>
        <v>0.2395833333</v>
      </c>
      <c r="O243" s="48">
        <f t="shared" si="4"/>
        <v>345</v>
      </c>
      <c r="P243" s="116">
        <v>10.0</v>
      </c>
      <c r="S243" s="48">
        <f t="shared" si="5"/>
        <v>0.006944444445</v>
      </c>
      <c r="T243" s="110">
        <f t="shared" si="6"/>
        <v>10</v>
      </c>
    </row>
    <row r="244" ht="15.75" customHeight="1">
      <c r="J244" s="113">
        <v>1.0</v>
      </c>
      <c r="K244" s="114" t="s">
        <v>112</v>
      </c>
      <c r="L244" s="115">
        <v>45960.979166666664</v>
      </c>
      <c r="M244" s="115">
        <v>45961.22152777778</v>
      </c>
      <c r="N244" s="48">
        <f t="shared" si="3"/>
        <v>0.2423611111</v>
      </c>
      <c r="O244" s="48">
        <f t="shared" si="4"/>
        <v>349</v>
      </c>
      <c r="P244" s="116">
        <v>1.0</v>
      </c>
      <c r="S244" s="48">
        <f t="shared" si="5"/>
        <v>0.0006944444467</v>
      </c>
      <c r="T244" s="110">
        <f t="shared" si="6"/>
        <v>1.000000003</v>
      </c>
    </row>
    <row r="245" ht="15.75" customHeight="1">
      <c r="J245" s="113">
        <v>1.0</v>
      </c>
      <c r="K245" s="114" t="s">
        <v>112</v>
      </c>
      <c r="L245" s="115">
        <v>45960.97986111111</v>
      </c>
      <c r="M245" s="115">
        <v>45961.08472222222</v>
      </c>
      <c r="N245" s="48">
        <f t="shared" si="3"/>
        <v>0.1048611111</v>
      </c>
      <c r="O245" s="48">
        <f t="shared" si="4"/>
        <v>151</v>
      </c>
      <c r="P245" s="116">
        <v>8.0</v>
      </c>
      <c r="S245" s="48">
        <f t="shared" si="5"/>
        <v>0.005555555559</v>
      </c>
      <c r="T245" s="110">
        <f t="shared" si="6"/>
        <v>8.000000005</v>
      </c>
    </row>
    <row r="246" ht="15.75" customHeight="1">
      <c r="J246" s="113">
        <v>1.0</v>
      </c>
      <c r="K246" s="114" t="s">
        <v>118</v>
      </c>
      <c r="L246" s="115">
        <v>45960.98541666667</v>
      </c>
      <c r="M246" s="115">
        <v>45961.22152777778</v>
      </c>
      <c r="N246" s="48">
        <f t="shared" si="3"/>
        <v>0.2361111111</v>
      </c>
      <c r="O246" s="48">
        <f t="shared" si="4"/>
        <v>340</v>
      </c>
      <c r="T246" s="110"/>
    </row>
    <row r="247" ht="15.75" customHeight="1">
      <c r="J247" s="113">
        <v>1.0</v>
      </c>
      <c r="K247" s="114" t="s">
        <v>119</v>
      </c>
      <c r="L247" s="115">
        <v>45961.125</v>
      </c>
      <c r="M247" s="115">
        <v>45961.248611111114</v>
      </c>
      <c r="N247" s="48">
        <f t="shared" si="3"/>
        <v>0.1236111111</v>
      </c>
      <c r="O247" s="48">
        <f t="shared" si="4"/>
        <v>178</v>
      </c>
      <c r="T247" s="110"/>
    </row>
    <row r="248" ht="15.75" customHeight="1">
      <c r="J248" s="113">
        <v>1.0</v>
      </c>
      <c r="K248" s="114" t="s">
        <v>126</v>
      </c>
      <c r="L248" s="115">
        <v>45961.125</v>
      </c>
      <c r="M248" s="115">
        <v>45961.25902777778</v>
      </c>
      <c r="N248" s="48">
        <f t="shared" si="3"/>
        <v>0.1340277778</v>
      </c>
      <c r="O248" s="48">
        <f t="shared" si="4"/>
        <v>193</v>
      </c>
      <c r="T248" s="110"/>
    </row>
    <row r="249" ht="15.75" customHeight="1">
      <c r="J249" s="113">
        <v>1.0</v>
      </c>
      <c r="K249" s="114" t="s">
        <v>119</v>
      </c>
      <c r="L249" s="115">
        <v>45961.125</v>
      </c>
      <c r="M249" s="115">
        <v>45961.24375</v>
      </c>
      <c r="N249" s="48">
        <f t="shared" si="3"/>
        <v>0.11875</v>
      </c>
      <c r="O249" s="48">
        <f t="shared" si="4"/>
        <v>171</v>
      </c>
      <c r="T249" s="110"/>
    </row>
    <row r="250" ht="15.75" customHeight="1">
      <c r="J250" s="113">
        <v>1.0</v>
      </c>
      <c r="K250" s="114" t="s">
        <v>119</v>
      </c>
      <c r="L250" s="115">
        <v>45961.125</v>
      </c>
      <c r="M250" s="115">
        <v>45961.24166666667</v>
      </c>
      <c r="N250" s="48">
        <f t="shared" si="3"/>
        <v>0.1166666667</v>
      </c>
      <c r="O250" s="48">
        <f t="shared" si="4"/>
        <v>168</v>
      </c>
      <c r="T250" s="110"/>
    </row>
    <row r="251" ht="15.75" customHeight="1">
      <c r="J251" s="113">
        <v>1.0</v>
      </c>
      <c r="K251" s="114" t="s">
        <v>137</v>
      </c>
      <c r="L251" s="115">
        <v>45961.125</v>
      </c>
      <c r="M251" s="115">
        <v>45961.22708333333</v>
      </c>
      <c r="N251" s="48">
        <f t="shared" si="3"/>
        <v>0.1020833333</v>
      </c>
      <c r="O251" s="48">
        <f t="shared" si="4"/>
        <v>147</v>
      </c>
      <c r="T251" s="110"/>
    </row>
    <row r="252" ht="15.75" customHeight="1">
      <c r="J252" s="113">
        <v>1.0</v>
      </c>
      <c r="K252" s="114" t="s">
        <v>126</v>
      </c>
      <c r="L252" s="115">
        <v>45961.125</v>
      </c>
      <c r="M252" s="115">
        <v>45961.23819444444</v>
      </c>
      <c r="N252" s="48">
        <f t="shared" si="3"/>
        <v>0.1131944444</v>
      </c>
      <c r="O252" s="48">
        <f t="shared" si="4"/>
        <v>163</v>
      </c>
      <c r="T252" s="110"/>
    </row>
    <row r="253" ht="15.75" customHeight="1">
      <c r="J253" s="113">
        <v>1.0</v>
      </c>
      <c r="K253" s="114" t="s">
        <v>137</v>
      </c>
      <c r="L253" s="115">
        <v>45961.125</v>
      </c>
      <c r="M253" s="115">
        <v>45961.26180555556</v>
      </c>
      <c r="N253" s="48">
        <f t="shared" si="3"/>
        <v>0.1368055556</v>
      </c>
      <c r="O253" s="48">
        <f t="shared" si="4"/>
        <v>197</v>
      </c>
      <c r="T253" s="110"/>
    </row>
    <row r="254" ht="15.75" customHeight="1">
      <c r="J254" s="113">
        <v>1.0</v>
      </c>
      <c r="K254" s="114" t="s">
        <v>126</v>
      </c>
      <c r="L254" s="115">
        <v>45961.125</v>
      </c>
      <c r="M254" s="115">
        <v>45961.239583333336</v>
      </c>
      <c r="N254" s="48">
        <f t="shared" si="3"/>
        <v>0.1145833333</v>
      </c>
      <c r="O254" s="48">
        <f t="shared" si="4"/>
        <v>165</v>
      </c>
      <c r="T254" s="110"/>
    </row>
    <row r="255" ht="15.75" customHeight="1">
      <c r="J255" s="113">
        <v>1.0</v>
      </c>
      <c r="K255" s="114" t="s">
        <v>126</v>
      </c>
      <c r="L255" s="115">
        <v>45961.125</v>
      </c>
      <c r="M255" s="115">
        <v>45961.248611111114</v>
      </c>
      <c r="N255" s="48">
        <f t="shared" si="3"/>
        <v>0.1236111111</v>
      </c>
      <c r="O255" s="48">
        <f t="shared" si="4"/>
        <v>178</v>
      </c>
      <c r="T255" s="110"/>
    </row>
    <row r="256" ht="15.75" customHeight="1">
      <c r="J256" s="113">
        <v>1.0</v>
      </c>
      <c r="K256" s="114" t="s">
        <v>137</v>
      </c>
      <c r="L256" s="115">
        <v>45961.125</v>
      </c>
      <c r="M256" s="115">
        <v>45961.22708333333</v>
      </c>
      <c r="N256" s="48">
        <f t="shared" si="3"/>
        <v>0.1020833333</v>
      </c>
      <c r="O256" s="48">
        <f t="shared" si="4"/>
        <v>147</v>
      </c>
      <c r="T256" s="110"/>
    </row>
    <row r="257" ht="15.75" customHeight="1">
      <c r="J257" s="113">
        <v>1.0</v>
      </c>
      <c r="K257" s="114" t="s">
        <v>137</v>
      </c>
      <c r="L257" s="115">
        <v>45961.125</v>
      </c>
      <c r="M257" s="115">
        <v>45961.26666666667</v>
      </c>
      <c r="N257" s="48">
        <f t="shared" si="3"/>
        <v>0.1416666667</v>
      </c>
      <c r="O257" s="48">
        <f t="shared" si="4"/>
        <v>204</v>
      </c>
      <c r="T257" s="110"/>
    </row>
    <row r="258" ht="15.75" customHeight="1">
      <c r="J258" s="113">
        <v>1.0</v>
      </c>
      <c r="K258" s="114" t="s">
        <v>137</v>
      </c>
      <c r="L258" s="115">
        <v>45961.125</v>
      </c>
      <c r="M258" s="115">
        <v>45961.260416666664</v>
      </c>
      <c r="N258" s="48">
        <f t="shared" si="3"/>
        <v>0.1354166667</v>
      </c>
      <c r="O258" s="48">
        <f t="shared" si="4"/>
        <v>195</v>
      </c>
      <c r="T258" s="110"/>
    </row>
    <row r="259" ht="15.75" customHeight="1">
      <c r="J259" s="113">
        <v>1.0</v>
      </c>
      <c r="K259" s="114" t="s">
        <v>137</v>
      </c>
      <c r="L259" s="115">
        <v>45961.125</v>
      </c>
      <c r="M259" s="115">
        <v>45961.22430555556</v>
      </c>
      <c r="N259" s="48">
        <f t="shared" si="3"/>
        <v>0.09930555556</v>
      </c>
      <c r="O259" s="48">
        <f t="shared" si="4"/>
        <v>143</v>
      </c>
      <c r="T259" s="110"/>
    </row>
    <row r="260" ht="15.75" customHeight="1">
      <c r="J260" s="113">
        <v>1.0</v>
      </c>
      <c r="K260" s="114" t="s">
        <v>126</v>
      </c>
      <c r="L260" s="115">
        <v>45961.125</v>
      </c>
      <c r="M260" s="115">
        <v>45961.24930555555</v>
      </c>
      <c r="N260" s="48">
        <f t="shared" si="3"/>
        <v>0.1243055556</v>
      </c>
      <c r="O260" s="48">
        <f t="shared" si="4"/>
        <v>179</v>
      </c>
      <c r="T260" s="110"/>
    </row>
    <row r="261" ht="15.75" customHeight="1">
      <c r="J261" s="113">
        <v>1.0</v>
      </c>
      <c r="K261" s="114" t="s">
        <v>119</v>
      </c>
      <c r="L261" s="115">
        <v>45961.125</v>
      </c>
      <c r="M261" s="115">
        <v>45961.25</v>
      </c>
      <c r="N261" s="48">
        <f t="shared" si="3"/>
        <v>0.125</v>
      </c>
      <c r="O261" s="48">
        <f t="shared" si="4"/>
        <v>180</v>
      </c>
      <c r="T261" s="110"/>
    </row>
    <row r="262" ht="15.75" customHeight="1">
      <c r="J262" s="113">
        <v>1.0</v>
      </c>
      <c r="K262" s="114" t="s">
        <v>126</v>
      </c>
      <c r="L262" s="115">
        <v>45961.125</v>
      </c>
      <c r="M262" s="115">
        <v>45961.24444444444</v>
      </c>
      <c r="N262" s="48">
        <f t="shared" si="3"/>
        <v>0.1194444444</v>
      </c>
      <c r="O262" s="48">
        <f t="shared" si="4"/>
        <v>172</v>
      </c>
      <c r="T262" s="110"/>
    </row>
    <row r="263" ht="15.75" customHeight="1">
      <c r="J263" s="113">
        <v>1.0</v>
      </c>
      <c r="K263" s="114" t="s">
        <v>119</v>
      </c>
      <c r="L263" s="115">
        <v>45961.125</v>
      </c>
      <c r="M263" s="115">
        <v>45961.22638888889</v>
      </c>
      <c r="N263" s="48">
        <f t="shared" si="3"/>
        <v>0.1013888889</v>
      </c>
      <c r="O263" s="48">
        <f t="shared" si="4"/>
        <v>146</v>
      </c>
      <c r="T263" s="110"/>
    </row>
    <row r="264" ht="15.75" customHeight="1">
      <c r="J264" s="113">
        <v>1.0</v>
      </c>
      <c r="K264" s="114" t="s">
        <v>137</v>
      </c>
      <c r="L264" s="115">
        <v>45961.125</v>
      </c>
      <c r="M264" s="115">
        <v>45961.22708333333</v>
      </c>
      <c r="N264" s="48">
        <f t="shared" si="3"/>
        <v>0.1020833333</v>
      </c>
      <c r="O264" s="48">
        <f t="shared" si="4"/>
        <v>147</v>
      </c>
      <c r="T264" s="110"/>
    </row>
    <row r="265" ht="15.75" customHeight="1">
      <c r="J265" s="113">
        <v>1.0</v>
      </c>
      <c r="K265" s="114" t="s">
        <v>126</v>
      </c>
      <c r="L265" s="115">
        <v>45961.125</v>
      </c>
      <c r="M265" s="115">
        <v>45961.263194444444</v>
      </c>
      <c r="N265" s="48">
        <f t="shared" si="3"/>
        <v>0.1381944444</v>
      </c>
      <c r="O265" s="48">
        <f t="shared" si="4"/>
        <v>199</v>
      </c>
      <c r="T265" s="110"/>
    </row>
    <row r="266" ht="15.75" customHeight="1">
      <c r="J266" s="113">
        <v>1.0</v>
      </c>
      <c r="K266" s="114" t="s">
        <v>137</v>
      </c>
      <c r="L266" s="115">
        <v>45961.125</v>
      </c>
      <c r="M266" s="115">
        <v>45961.228472222225</v>
      </c>
      <c r="N266" s="48">
        <f t="shared" si="3"/>
        <v>0.1034722222</v>
      </c>
      <c r="O266" s="48">
        <f t="shared" si="4"/>
        <v>149</v>
      </c>
      <c r="T266" s="110"/>
    </row>
    <row r="267" ht="15.75" customHeight="1">
      <c r="J267" s="113">
        <v>1.0</v>
      </c>
      <c r="K267" s="114" t="s">
        <v>137</v>
      </c>
      <c r="L267" s="115">
        <v>45961.125</v>
      </c>
      <c r="M267" s="115">
        <v>45961.22777777778</v>
      </c>
      <c r="N267" s="48">
        <f t="shared" si="3"/>
        <v>0.1027777778</v>
      </c>
      <c r="O267" s="48">
        <f t="shared" si="4"/>
        <v>148</v>
      </c>
      <c r="T267" s="110"/>
    </row>
    <row r="268" ht="15.75" customHeight="1">
      <c r="J268" s="113">
        <v>1.0</v>
      </c>
      <c r="K268" s="114" t="s">
        <v>119</v>
      </c>
      <c r="L268" s="115">
        <v>45961.125</v>
      </c>
      <c r="M268" s="115">
        <v>45961.27013888889</v>
      </c>
      <c r="N268" s="48">
        <f t="shared" si="3"/>
        <v>0.1451388889</v>
      </c>
      <c r="O268" s="48">
        <f t="shared" si="4"/>
        <v>209</v>
      </c>
      <c r="T268" s="110"/>
    </row>
    <row r="269" ht="15.75" customHeight="1">
      <c r="J269" s="113">
        <v>1.0</v>
      </c>
      <c r="K269" s="114" t="s">
        <v>119</v>
      </c>
      <c r="L269" s="115">
        <v>45961.125</v>
      </c>
      <c r="M269" s="115">
        <v>45961.254166666666</v>
      </c>
      <c r="N269" s="48">
        <f t="shared" si="3"/>
        <v>0.1291666667</v>
      </c>
      <c r="O269" s="48">
        <f t="shared" si="4"/>
        <v>186</v>
      </c>
      <c r="T269" s="110"/>
    </row>
    <row r="270" ht="15.75" customHeight="1">
      <c r="J270" s="113">
        <v>1.0</v>
      </c>
      <c r="K270" s="114" t="s">
        <v>119</v>
      </c>
      <c r="L270" s="115">
        <v>45961.125</v>
      </c>
      <c r="M270" s="115">
        <v>45961.25</v>
      </c>
      <c r="N270" s="48">
        <f t="shared" si="3"/>
        <v>0.125</v>
      </c>
      <c r="O270" s="48">
        <f t="shared" si="4"/>
        <v>180</v>
      </c>
      <c r="T270" s="110"/>
    </row>
    <row r="271" ht="15.75" customHeight="1">
      <c r="J271" s="113">
        <v>1.0</v>
      </c>
      <c r="K271" s="114" t="s">
        <v>119</v>
      </c>
      <c r="L271" s="115">
        <v>45961.125</v>
      </c>
      <c r="M271" s="115">
        <v>45961.415972222225</v>
      </c>
      <c r="N271" s="48">
        <f t="shared" si="3"/>
        <v>0.2909722222</v>
      </c>
      <c r="O271" s="48">
        <f t="shared" si="4"/>
        <v>419</v>
      </c>
      <c r="T271" s="110"/>
    </row>
    <row r="272" ht="15.75" customHeight="1">
      <c r="J272" s="113">
        <v>1.0</v>
      </c>
      <c r="K272" s="114" t="s">
        <v>126</v>
      </c>
      <c r="L272" s="115">
        <v>45961.125</v>
      </c>
      <c r="M272" s="115">
        <v>45961.25833333333</v>
      </c>
      <c r="N272" s="48">
        <f t="shared" si="3"/>
        <v>0.1333333333</v>
      </c>
      <c r="O272" s="48">
        <f t="shared" si="4"/>
        <v>192</v>
      </c>
      <c r="T272" s="110"/>
    </row>
    <row r="273" ht="15.75" customHeight="1">
      <c r="J273" s="113">
        <v>1.0</v>
      </c>
      <c r="K273" s="114" t="s">
        <v>126</v>
      </c>
      <c r="L273" s="115">
        <v>45961.125</v>
      </c>
      <c r="M273" s="115">
        <v>45961.263194444444</v>
      </c>
      <c r="N273" s="48">
        <f t="shared" si="3"/>
        <v>0.1381944444</v>
      </c>
      <c r="O273" s="48">
        <f t="shared" si="4"/>
        <v>199</v>
      </c>
      <c r="T273" s="110"/>
    </row>
    <row r="274" ht="15.75" customHeight="1">
      <c r="J274" s="113">
        <v>1.0</v>
      </c>
      <c r="K274" s="114" t="s">
        <v>133</v>
      </c>
      <c r="L274" s="115">
        <v>45961.291666666664</v>
      </c>
      <c r="M274" s="115">
        <v>45961.461805555555</v>
      </c>
      <c r="N274" s="48">
        <f t="shared" si="3"/>
        <v>0.1701388889</v>
      </c>
      <c r="O274" s="48">
        <f t="shared" si="4"/>
        <v>245</v>
      </c>
      <c r="T274" s="110"/>
    </row>
    <row r="275" ht="15.75" customHeight="1">
      <c r="J275" s="113">
        <v>1.0</v>
      </c>
      <c r="K275" s="114" t="s">
        <v>124</v>
      </c>
      <c r="L275" s="115">
        <v>45961.291666666664</v>
      </c>
      <c r="M275" s="115">
        <v>45961.461805555555</v>
      </c>
      <c r="N275" s="48">
        <f t="shared" si="3"/>
        <v>0.1701388889</v>
      </c>
      <c r="O275" s="48">
        <f t="shared" si="4"/>
        <v>245</v>
      </c>
      <c r="T275" s="110"/>
    </row>
    <row r="276" ht="15.75" customHeight="1">
      <c r="J276" s="113">
        <v>1.0</v>
      </c>
      <c r="K276" s="114" t="s">
        <v>124</v>
      </c>
      <c r="L276" s="115">
        <v>45961.291666666664</v>
      </c>
      <c r="M276" s="115">
        <v>45961.54652777778</v>
      </c>
      <c r="N276" s="48">
        <f t="shared" si="3"/>
        <v>0.2548611111</v>
      </c>
      <c r="O276" s="48">
        <f t="shared" si="4"/>
        <v>367</v>
      </c>
      <c r="T276" s="110"/>
    </row>
    <row r="277" ht="15.75" customHeight="1">
      <c r="J277" s="113">
        <v>1.0</v>
      </c>
      <c r="K277" s="114" t="s">
        <v>133</v>
      </c>
      <c r="L277" s="115">
        <v>45961.291666666664</v>
      </c>
      <c r="M277" s="115">
        <v>45961.427083333336</v>
      </c>
      <c r="N277" s="48">
        <f t="shared" si="3"/>
        <v>0.1354166667</v>
      </c>
      <c r="O277" s="48">
        <f t="shared" si="4"/>
        <v>195</v>
      </c>
      <c r="T277" s="110"/>
    </row>
    <row r="278" ht="15.75" customHeight="1">
      <c r="J278" s="113">
        <v>1.0</v>
      </c>
      <c r="K278" s="114" t="s">
        <v>130</v>
      </c>
      <c r="L278" s="115">
        <v>45961.291666666664</v>
      </c>
      <c r="M278" s="115">
        <v>45961.478472222225</v>
      </c>
      <c r="N278" s="48">
        <f t="shared" si="3"/>
        <v>0.1868055556</v>
      </c>
      <c r="O278" s="48">
        <f t="shared" si="4"/>
        <v>269</v>
      </c>
      <c r="T278" s="110"/>
    </row>
    <row r="279" ht="15.75" customHeight="1">
      <c r="J279" s="113">
        <v>1.0</v>
      </c>
      <c r="K279" s="114" t="s">
        <v>133</v>
      </c>
      <c r="L279" s="115">
        <v>45961.291666666664</v>
      </c>
      <c r="M279" s="115">
        <v>45961.455555555556</v>
      </c>
      <c r="N279" s="48">
        <f t="shared" si="3"/>
        <v>0.1638888889</v>
      </c>
      <c r="O279" s="48">
        <f t="shared" si="4"/>
        <v>236</v>
      </c>
      <c r="T279" s="110"/>
    </row>
    <row r="280" ht="15.75" customHeight="1">
      <c r="J280" s="113">
        <v>1.0</v>
      </c>
      <c r="K280" s="114" t="s">
        <v>130</v>
      </c>
      <c r="L280" s="115">
        <v>45961.291666666664</v>
      </c>
      <c r="M280" s="115">
        <v>45961.45416666667</v>
      </c>
      <c r="N280" s="48">
        <f t="shared" si="3"/>
        <v>0.1625</v>
      </c>
      <c r="O280" s="48">
        <f t="shared" si="4"/>
        <v>234</v>
      </c>
      <c r="T280" s="110"/>
    </row>
    <row r="281" ht="15.75" customHeight="1">
      <c r="J281" s="113">
        <v>1.0</v>
      </c>
      <c r="K281" s="114" t="s">
        <v>130</v>
      </c>
      <c r="L281" s="115">
        <v>45961.291666666664</v>
      </c>
      <c r="M281" s="115">
        <v>45961.47777777778</v>
      </c>
      <c r="N281" s="48">
        <f t="shared" si="3"/>
        <v>0.1861111111</v>
      </c>
      <c r="O281" s="48">
        <f t="shared" si="4"/>
        <v>268</v>
      </c>
      <c r="T281" s="110"/>
    </row>
    <row r="282" ht="15.75" customHeight="1">
      <c r="J282" s="113">
        <v>1.0</v>
      </c>
      <c r="K282" s="114" t="s">
        <v>133</v>
      </c>
      <c r="L282" s="115">
        <v>45961.291666666664</v>
      </c>
      <c r="M282" s="115">
        <v>45961.427083333336</v>
      </c>
      <c r="N282" s="48">
        <f t="shared" si="3"/>
        <v>0.1354166667</v>
      </c>
      <c r="O282" s="48">
        <f t="shared" si="4"/>
        <v>195</v>
      </c>
      <c r="T282" s="110"/>
    </row>
    <row r="283" ht="15.75" customHeight="1">
      <c r="J283" s="113">
        <v>1.0</v>
      </c>
      <c r="K283" s="114" t="s">
        <v>124</v>
      </c>
      <c r="L283" s="115">
        <v>45961.291666666664</v>
      </c>
      <c r="M283" s="115">
        <v>45961.4125</v>
      </c>
      <c r="N283" s="48">
        <f t="shared" si="3"/>
        <v>0.1208333333</v>
      </c>
      <c r="O283" s="48">
        <f t="shared" si="4"/>
        <v>174</v>
      </c>
      <c r="T283" s="110"/>
    </row>
    <row r="284" ht="15.75" customHeight="1">
      <c r="J284" s="113">
        <v>1.0</v>
      </c>
      <c r="K284" s="114" t="s">
        <v>127</v>
      </c>
      <c r="L284" s="115">
        <v>45961.291666666664</v>
      </c>
      <c r="M284" s="115">
        <v>45961.42083333333</v>
      </c>
      <c r="N284" s="48">
        <f t="shared" si="3"/>
        <v>0.1291666667</v>
      </c>
      <c r="O284" s="48">
        <f t="shared" si="4"/>
        <v>186</v>
      </c>
      <c r="T284" s="110"/>
    </row>
    <row r="285" ht="15.75" customHeight="1">
      <c r="J285" s="113">
        <v>1.0</v>
      </c>
      <c r="K285" s="114" t="s">
        <v>127</v>
      </c>
      <c r="L285" s="115">
        <v>45961.291666666664</v>
      </c>
      <c r="M285" s="115">
        <v>45961.42986111111</v>
      </c>
      <c r="N285" s="48">
        <f t="shared" si="3"/>
        <v>0.1381944444</v>
      </c>
      <c r="O285" s="48">
        <f t="shared" si="4"/>
        <v>199</v>
      </c>
      <c r="T285" s="110"/>
    </row>
    <row r="286" ht="15.75" customHeight="1">
      <c r="J286" s="113">
        <v>1.0</v>
      </c>
      <c r="K286" s="114" t="s">
        <v>140</v>
      </c>
      <c r="L286" s="115">
        <v>45961.291666666664</v>
      </c>
      <c r="M286" s="115">
        <v>45961.42986111111</v>
      </c>
      <c r="N286" s="48">
        <f t="shared" si="3"/>
        <v>0.1381944444</v>
      </c>
      <c r="O286" s="48">
        <f t="shared" si="4"/>
        <v>199</v>
      </c>
      <c r="T286" s="110"/>
    </row>
    <row r="287" ht="15.75" customHeight="1">
      <c r="J287" s="113">
        <v>1.0</v>
      </c>
      <c r="K287" s="114" t="s">
        <v>125</v>
      </c>
      <c r="L287" s="115">
        <v>45961.291666666664</v>
      </c>
      <c r="M287" s="115">
        <v>45961.475694444445</v>
      </c>
      <c r="N287" s="48">
        <f t="shared" si="3"/>
        <v>0.1840277778</v>
      </c>
      <c r="O287" s="48">
        <f t="shared" si="4"/>
        <v>265</v>
      </c>
      <c r="T287" s="110"/>
    </row>
    <row r="288" ht="15.75" customHeight="1">
      <c r="J288" s="113">
        <v>1.0</v>
      </c>
      <c r="K288" s="114" t="s">
        <v>124</v>
      </c>
      <c r="L288" s="115">
        <v>45961.291666666664</v>
      </c>
      <c r="M288" s="115">
        <v>45961.4125</v>
      </c>
      <c r="N288" s="48">
        <f t="shared" si="3"/>
        <v>0.1208333333</v>
      </c>
      <c r="O288" s="48">
        <f t="shared" si="4"/>
        <v>174</v>
      </c>
      <c r="T288" s="110"/>
    </row>
    <row r="289" ht="15.75" customHeight="1">
      <c r="J289" s="113">
        <v>1.0</v>
      </c>
      <c r="K289" s="114" t="s">
        <v>132</v>
      </c>
      <c r="L289" s="115">
        <v>45961.291666666664</v>
      </c>
      <c r="M289" s="115">
        <v>45961.47986111111</v>
      </c>
      <c r="N289" s="48">
        <f t="shared" si="3"/>
        <v>0.1881944444</v>
      </c>
      <c r="O289" s="48">
        <f t="shared" si="4"/>
        <v>271</v>
      </c>
      <c r="T289" s="110"/>
    </row>
    <row r="290" ht="15.75" customHeight="1">
      <c r="J290" s="113">
        <v>1.0</v>
      </c>
      <c r="K290" s="114" t="s">
        <v>130</v>
      </c>
      <c r="L290" s="115">
        <v>45961.291666666664</v>
      </c>
      <c r="M290" s="115">
        <v>45961.47777777778</v>
      </c>
      <c r="N290" s="48">
        <f t="shared" si="3"/>
        <v>0.1861111111</v>
      </c>
      <c r="O290" s="48">
        <f t="shared" si="4"/>
        <v>268</v>
      </c>
      <c r="T290" s="110"/>
    </row>
    <row r="291" ht="15.75" customHeight="1">
      <c r="J291" s="113">
        <v>1.0</v>
      </c>
      <c r="K291" s="114" t="s">
        <v>133</v>
      </c>
      <c r="L291" s="115">
        <v>45961.291666666664</v>
      </c>
      <c r="M291" s="115">
        <v>45961.57152777778</v>
      </c>
      <c r="N291" s="48">
        <f t="shared" si="3"/>
        <v>0.2798611111</v>
      </c>
      <c r="O291" s="48">
        <f t="shared" si="4"/>
        <v>403</v>
      </c>
      <c r="T291" s="110"/>
    </row>
    <row r="292" ht="15.75" customHeight="1">
      <c r="J292" s="113">
        <v>1.0</v>
      </c>
      <c r="K292" s="114" t="s">
        <v>133</v>
      </c>
      <c r="L292" s="115">
        <v>45961.291666666664</v>
      </c>
      <c r="M292" s="115">
        <v>45961.461805555555</v>
      </c>
      <c r="N292" s="48">
        <f t="shared" si="3"/>
        <v>0.1701388889</v>
      </c>
      <c r="O292" s="48">
        <f t="shared" si="4"/>
        <v>245</v>
      </c>
      <c r="T292" s="110"/>
    </row>
    <row r="293" ht="15.75" customHeight="1">
      <c r="J293" s="113">
        <v>1.0</v>
      </c>
      <c r="K293" s="114" t="s">
        <v>140</v>
      </c>
      <c r="L293" s="115">
        <v>45961.291666666664</v>
      </c>
      <c r="M293" s="115">
        <v>45961.427083333336</v>
      </c>
      <c r="N293" s="48">
        <f t="shared" si="3"/>
        <v>0.1354166667</v>
      </c>
      <c r="O293" s="48">
        <f t="shared" si="4"/>
        <v>195</v>
      </c>
      <c r="T293" s="110"/>
    </row>
    <row r="294" ht="15.75" customHeight="1">
      <c r="J294" s="113">
        <v>1.0</v>
      </c>
      <c r="K294" s="114" t="s">
        <v>143</v>
      </c>
      <c r="L294" s="115">
        <v>45961.291666666664</v>
      </c>
      <c r="M294" s="115">
        <v>45961.475694444445</v>
      </c>
      <c r="N294" s="48">
        <f t="shared" si="3"/>
        <v>0.1840277778</v>
      </c>
      <c r="O294" s="48">
        <f t="shared" si="4"/>
        <v>265</v>
      </c>
      <c r="T294" s="110"/>
    </row>
    <row r="295" ht="15.75" customHeight="1">
      <c r="J295" s="113">
        <v>1.0</v>
      </c>
      <c r="K295" s="114" t="s">
        <v>123</v>
      </c>
      <c r="L295" s="115">
        <v>45961.291666666664</v>
      </c>
      <c r="M295" s="115">
        <v>45961.47777777778</v>
      </c>
      <c r="N295" s="48">
        <f t="shared" si="3"/>
        <v>0.1861111111</v>
      </c>
      <c r="O295" s="48">
        <f t="shared" si="4"/>
        <v>268</v>
      </c>
      <c r="T295" s="110"/>
    </row>
    <row r="296" ht="15.75" customHeight="1">
      <c r="J296" s="113">
        <v>1.0</v>
      </c>
      <c r="K296" s="114" t="s">
        <v>143</v>
      </c>
      <c r="L296" s="115">
        <v>45961.291666666664</v>
      </c>
      <c r="M296" s="115">
        <v>45961.4125</v>
      </c>
      <c r="N296" s="48">
        <f t="shared" si="3"/>
        <v>0.1208333333</v>
      </c>
      <c r="O296" s="48">
        <f t="shared" si="4"/>
        <v>174</v>
      </c>
      <c r="T296" s="110"/>
    </row>
    <row r="297" ht="15.75" customHeight="1">
      <c r="J297" s="113">
        <v>1.0</v>
      </c>
      <c r="K297" s="114" t="s">
        <v>143</v>
      </c>
      <c r="L297" s="115">
        <v>45961.291666666664</v>
      </c>
      <c r="M297" s="115">
        <v>45961.42916666667</v>
      </c>
      <c r="N297" s="48">
        <f t="shared" si="3"/>
        <v>0.1375</v>
      </c>
      <c r="O297" s="48">
        <f t="shared" si="4"/>
        <v>198</v>
      </c>
      <c r="T297" s="110"/>
    </row>
    <row r="298" ht="15.75" customHeight="1">
      <c r="J298" s="113">
        <v>1.0</v>
      </c>
      <c r="K298" s="114" t="s">
        <v>130</v>
      </c>
      <c r="L298" s="115">
        <v>45961.291666666664</v>
      </c>
      <c r="M298" s="115">
        <v>45961.42916666667</v>
      </c>
      <c r="N298" s="48">
        <f t="shared" si="3"/>
        <v>0.1375</v>
      </c>
      <c r="O298" s="48">
        <f t="shared" si="4"/>
        <v>198</v>
      </c>
      <c r="T298" s="110"/>
    </row>
    <row r="299" ht="15.75" customHeight="1">
      <c r="J299" s="113">
        <v>1.0</v>
      </c>
      <c r="K299" s="114" t="s">
        <v>123</v>
      </c>
      <c r="L299" s="115">
        <v>45961.291666666664</v>
      </c>
      <c r="M299" s="115">
        <v>45961.461805555555</v>
      </c>
      <c r="N299" s="48">
        <f t="shared" si="3"/>
        <v>0.1701388889</v>
      </c>
      <c r="O299" s="48">
        <f t="shared" si="4"/>
        <v>245</v>
      </c>
      <c r="T299" s="110"/>
    </row>
    <row r="300" ht="15.75" customHeight="1">
      <c r="J300" s="113">
        <v>1.0</v>
      </c>
      <c r="K300" s="114" t="s">
        <v>130</v>
      </c>
      <c r="L300" s="115">
        <v>45961.291666666664</v>
      </c>
      <c r="M300" s="115">
        <v>45961.461805555555</v>
      </c>
      <c r="N300" s="48">
        <f t="shared" si="3"/>
        <v>0.1701388889</v>
      </c>
      <c r="O300" s="48">
        <f t="shared" si="4"/>
        <v>245</v>
      </c>
      <c r="T300" s="110"/>
    </row>
    <row r="301" ht="15.75" customHeight="1">
      <c r="J301" s="113">
        <v>1.0</v>
      </c>
      <c r="K301" s="114" t="s">
        <v>130</v>
      </c>
      <c r="L301" s="115">
        <v>45961.291666666664</v>
      </c>
      <c r="M301" s="115">
        <v>45961.38888888889</v>
      </c>
      <c r="N301" s="48">
        <f t="shared" si="3"/>
        <v>0.09722222223</v>
      </c>
      <c r="O301" s="48">
        <f t="shared" si="4"/>
        <v>140</v>
      </c>
      <c r="T301" s="110"/>
    </row>
    <row r="302" ht="15.75" customHeight="1">
      <c r="J302" s="113">
        <v>1.0</v>
      </c>
      <c r="K302" s="114" t="s">
        <v>143</v>
      </c>
      <c r="L302" s="115">
        <v>45961.291666666664</v>
      </c>
      <c r="M302" s="115">
        <v>45961.42083333333</v>
      </c>
      <c r="N302" s="48">
        <f t="shared" si="3"/>
        <v>0.1291666667</v>
      </c>
      <c r="O302" s="48">
        <f t="shared" si="4"/>
        <v>186</v>
      </c>
      <c r="T302" s="110"/>
    </row>
    <row r="303" ht="15.75" customHeight="1">
      <c r="J303" s="113">
        <v>1.0</v>
      </c>
      <c r="K303" s="114" t="s">
        <v>127</v>
      </c>
      <c r="L303" s="115">
        <v>45961.291666666664</v>
      </c>
      <c r="M303" s="115">
        <v>45961.42986111111</v>
      </c>
      <c r="N303" s="48">
        <f t="shared" si="3"/>
        <v>0.1381944444</v>
      </c>
      <c r="O303" s="48">
        <f t="shared" si="4"/>
        <v>199</v>
      </c>
      <c r="T303" s="110"/>
    </row>
    <row r="304" ht="15.75" customHeight="1">
      <c r="J304" s="113">
        <v>1.0</v>
      </c>
      <c r="K304" s="114" t="s">
        <v>140</v>
      </c>
      <c r="L304" s="115">
        <v>45961.291666666664</v>
      </c>
      <c r="M304" s="115">
        <v>45961.478472222225</v>
      </c>
      <c r="N304" s="48">
        <f t="shared" si="3"/>
        <v>0.1868055556</v>
      </c>
      <c r="O304" s="48">
        <f t="shared" si="4"/>
        <v>269</v>
      </c>
      <c r="T304" s="110"/>
    </row>
    <row r="305" ht="15.75" customHeight="1">
      <c r="J305" s="113">
        <v>1.0</v>
      </c>
      <c r="K305" s="114" t="s">
        <v>133</v>
      </c>
      <c r="L305" s="115">
        <v>45961.291666666664</v>
      </c>
      <c r="M305" s="115">
        <v>45961.08472222222</v>
      </c>
      <c r="N305" s="48">
        <f t="shared" si="3"/>
        <v>-0.2069444444</v>
      </c>
      <c r="O305" s="48">
        <f t="shared" si="4"/>
        <v>-298</v>
      </c>
      <c r="T305" s="110"/>
    </row>
    <row r="306" ht="15.75" customHeight="1">
      <c r="J306" s="113">
        <v>1.0</v>
      </c>
      <c r="K306" s="114" t="s">
        <v>127</v>
      </c>
      <c r="L306" s="115">
        <v>45961.291666666664</v>
      </c>
      <c r="M306" s="115">
        <v>45961.42986111111</v>
      </c>
      <c r="N306" s="48">
        <f t="shared" si="3"/>
        <v>0.1381944444</v>
      </c>
      <c r="O306" s="48">
        <f t="shared" si="4"/>
        <v>199</v>
      </c>
      <c r="T306" s="110"/>
    </row>
    <row r="307" ht="15.75" customHeight="1">
      <c r="J307" s="113">
        <v>1.0</v>
      </c>
      <c r="K307" s="114" t="s">
        <v>122</v>
      </c>
      <c r="L307" s="115">
        <v>45961.291666666664</v>
      </c>
      <c r="M307" s="115">
        <v>45961.45416666667</v>
      </c>
      <c r="N307" s="48">
        <f t="shared" si="3"/>
        <v>0.1625</v>
      </c>
      <c r="O307" s="48">
        <f t="shared" si="4"/>
        <v>234</v>
      </c>
      <c r="T307" s="110"/>
    </row>
    <row r="308" ht="15.75" customHeight="1">
      <c r="J308" s="113">
        <v>1.0</v>
      </c>
      <c r="K308" s="114" t="s">
        <v>122</v>
      </c>
      <c r="L308" s="115">
        <v>45961.291666666664</v>
      </c>
      <c r="M308" s="115">
        <v>45961.461805555555</v>
      </c>
      <c r="N308" s="48">
        <f t="shared" si="3"/>
        <v>0.1701388889</v>
      </c>
      <c r="O308" s="48">
        <f t="shared" si="4"/>
        <v>245</v>
      </c>
      <c r="T308" s="110"/>
    </row>
    <row r="309" ht="15.75" customHeight="1">
      <c r="J309" s="113">
        <v>1.0</v>
      </c>
      <c r="K309" s="114" t="s">
        <v>142</v>
      </c>
      <c r="L309" s="115">
        <v>45961.291666666664</v>
      </c>
      <c r="M309" s="115">
        <v>45961.478472222225</v>
      </c>
      <c r="N309" s="48">
        <f t="shared" si="3"/>
        <v>0.1868055556</v>
      </c>
      <c r="O309" s="48">
        <f t="shared" si="4"/>
        <v>269</v>
      </c>
      <c r="T309" s="110"/>
    </row>
    <row r="310" ht="15.75" customHeight="1">
      <c r="J310" s="113">
        <v>1.0</v>
      </c>
      <c r="K310" s="114" t="s">
        <v>142</v>
      </c>
      <c r="L310" s="115">
        <v>45961.291666666664</v>
      </c>
      <c r="M310" s="115">
        <v>45961.455555555556</v>
      </c>
      <c r="N310" s="48">
        <f t="shared" si="3"/>
        <v>0.1638888889</v>
      </c>
      <c r="O310" s="48">
        <f t="shared" si="4"/>
        <v>236</v>
      </c>
      <c r="T310" s="110"/>
    </row>
    <row r="311" ht="15.75" customHeight="1">
      <c r="J311" s="113">
        <v>1.0</v>
      </c>
      <c r="K311" s="114" t="s">
        <v>127</v>
      </c>
      <c r="L311" s="115">
        <v>45961.291666666664</v>
      </c>
      <c r="M311" s="115">
        <v>45961.42986111111</v>
      </c>
      <c r="N311" s="48">
        <f t="shared" si="3"/>
        <v>0.1381944444</v>
      </c>
      <c r="O311" s="48">
        <f t="shared" si="4"/>
        <v>199</v>
      </c>
      <c r="T311" s="110"/>
    </row>
    <row r="312" ht="15.75" customHeight="1">
      <c r="J312" s="113">
        <v>1.0</v>
      </c>
      <c r="K312" s="114" t="s">
        <v>121</v>
      </c>
      <c r="L312" s="115">
        <v>45961.291666666664</v>
      </c>
      <c r="M312" s="115">
        <v>45961.475694444445</v>
      </c>
      <c r="N312" s="48">
        <f t="shared" si="3"/>
        <v>0.1840277778</v>
      </c>
      <c r="O312" s="48">
        <f t="shared" si="4"/>
        <v>265</v>
      </c>
      <c r="T312" s="110"/>
    </row>
    <row r="313" ht="15.75" customHeight="1">
      <c r="J313" s="113">
        <v>1.0</v>
      </c>
      <c r="K313" s="114" t="s">
        <v>124</v>
      </c>
      <c r="L313" s="115">
        <v>45961.291666666664</v>
      </c>
      <c r="M313" s="115">
        <v>45961.455555555556</v>
      </c>
      <c r="N313" s="48">
        <f t="shared" si="3"/>
        <v>0.1638888889</v>
      </c>
      <c r="O313" s="48">
        <f t="shared" si="4"/>
        <v>236</v>
      </c>
      <c r="T313" s="110"/>
    </row>
    <row r="314" ht="15.75" customHeight="1">
      <c r="J314" s="113">
        <v>1.0</v>
      </c>
      <c r="K314" s="114" t="s">
        <v>124</v>
      </c>
      <c r="L314" s="115">
        <v>45961.291666666664</v>
      </c>
      <c r="M314" s="115">
        <v>45961.59930555556</v>
      </c>
      <c r="N314" s="48">
        <f t="shared" si="3"/>
        <v>0.3076388889</v>
      </c>
      <c r="O314" s="48">
        <f t="shared" si="4"/>
        <v>443</v>
      </c>
      <c r="T314" s="110"/>
    </row>
    <row r="315" ht="15.75" customHeight="1">
      <c r="J315" s="113">
        <v>1.0</v>
      </c>
      <c r="K315" s="114" t="s">
        <v>124</v>
      </c>
      <c r="L315" s="115">
        <v>45961.291666666664</v>
      </c>
      <c r="M315" s="115">
        <v>45961.57152777778</v>
      </c>
      <c r="N315" s="48">
        <f t="shared" si="3"/>
        <v>0.2798611111</v>
      </c>
      <c r="O315" s="48">
        <f t="shared" si="4"/>
        <v>403</v>
      </c>
      <c r="T315" s="110"/>
    </row>
    <row r="316" ht="15.75" customHeight="1">
      <c r="J316" s="113">
        <v>1.0</v>
      </c>
      <c r="K316" s="114" t="s">
        <v>122</v>
      </c>
      <c r="L316" s="115">
        <v>45961.291666666664</v>
      </c>
      <c r="M316" s="115">
        <v>45961.57152777778</v>
      </c>
      <c r="N316" s="48">
        <f t="shared" si="3"/>
        <v>0.2798611111</v>
      </c>
      <c r="O316" s="48">
        <f t="shared" si="4"/>
        <v>403</v>
      </c>
      <c r="T316" s="110"/>
    </row>
    <row r="317" ht="15.75" customHeight="1">
      <c r="J317" s="113">
        <v>1.0</v>
      </c>
      <c r="K317" s="114" t="s">
        <v>121</v>
      </c>
      <c r="L317" s="115">
        <v>45961.291666666664</v>
      </c>
      <c r="M317" s="115">
        <v>45961.063888888886</v>
      </c>
      <c r="N317" s="48">
        <f t="shared" si="3"/>
        <v>-0.2277777778</v>
      </c>
      <c r="O317" s="48">
        <f t="shared" si="4"/>
        <v>-328</v>
      </c>
      <c r="T317" s="110"/>
    </row>
    <row r="318" ht="15.75" customHeight="1">
      <c r="J318" s="113">
        <v>1.0</v>
      </c>
      <c r="K318" s="114" t="s">
        <v>127</v>
      </c>
      <c r="L318" s="115">
        <v>45961.291666666664</v>
      </c>
      <c r="M318" s="115">
        <v>45961.42986111111</v>
      </c>
      <c r="N318" s="48">
        <f t="shared" si="3"/>
        <v>0.1381944444</v>
      </c>
      <c r="O318" s="48">
        <f t="shared" si="4"/>
        <v>199</v>
      </c>
      <c r="T318" s="110"/>
    </row>
    <row r="319" ht="15.75" customHeight="1">
      <c r="J319" s="113">
        <v>1.0</v>
      </c>
      <c r="K319" s="114" t="s">
        <v>141</v>
      </c>
      <c r="L319" s="115">
        <v>45961.291666666664</v>
      </c>
      <c r="M319" s="115">
        <v>45961.413194444445</v>
      </c>
      <c r="N319" s="48">
        <f t="shared" si="3"/>
        <v>0.1215277778</v>
      </c>
      <c r="O319" s="48">
        <f t="shared" si="4"/>
        <v>175</v>
      </c>
      <c r="T319" s="110"/>
    </row>
    <row r="320" ht="15.75" customHeight="1">
      <c r="J320" s="113">
        <v>1.0</v>
      </c>
      <c r="K320" s="114" t="s">
        <v>140</v>
      </c>
      <c r="L320" s="115">
        <v>45961.291666666664</v>
      </c>
      <c r="M320" s="115">
        <v>45961.42013888889</v>
      </c>
      <c r="N320" s="48">
        <f t="shared" si="3"/>
        <v>0.1284722222</v>
      </c>
      <c r="O320" s="48">
        <f t="shared" si="4"/>
        <v>185</v>
      </c>
      <c r="T320" s="110"/>
    </row>
    <row r="321" ht="15.75" customHeight="1">
      <c r="J321" s="113">
        <v>1.0</v>
      </c>
      <c r="K321" s="114" t="s">
        <v>120</v>
      </c>
      <c r="L321" s="115">
        <v>45961.291666666664</v>
      </c>
      <c r="M321" s="115">
        <v>45961.478472222225</v>
      </c>
      <c r="N321" s="48">
        <f t="shared" si="3"/>
        <v>0.1868055556</v>
      </c>
      <c r="O321" s="48">
        <f t="shared" si="4"/>
        <v>269</v>
      </c>
      <c r="T321" s="110"/>
    </row>
    <row r="322" ht="15.75" customHeight="1">
      <c r="J322" s="113">
        <v>1.0</v>
      </c>
      <c r="K322" s="114" t="s">
        <v>140</v>
      </c>
      <c r="L322" s="115">
        <v>45961.291666666664</v>
      </c>
      <c r="M322" s="115">
        <v>45961.47986111111</v>
      </c>
      <c r="N322" s="48">
        <f t="shared" si="3"/>
        <v>0.1881944444</v>
      </c>
      <c r="O322" s="48">
        <f t="shared" si="4"/>
        <v>271</v>
      </c>
      <c r="T322" s="110"/>
    </row>
    <row r="323" ht="15.75" customHeight="1">
      <c r="J323" s="113">
        <v>1.0</v>
      </c>
      <c r="K323" s="114" t="s">
        <v>124</v>
      </c>
      <c r="L323" s="115">
        <v>45961.291666666664</v>
      </c>
      <c r="M323" s="115">
        <v>45961.45486111111</v>
      </c>
      <c r="N323" s="48">
        <f t="shared" si="3"/>
        <v>0.1631944444</v>
      </c>
      <c r="O323" s="48">
        <f t="shared" si="4"/>
        <v>235</v>
      </c>
      <c r="T323" s="110"/>
    </row>
    <row r="324" ht="15.75" customHeight="1">
      <c r="J324" s="113">
        <v>1.0</v>
      </c>
      <c r="K324" s="114" t="s">
        <v>142</v>
      </c>
      <c r="L324" s="115">
        <v>45961.291666666664</v>
      </c>
      <c r="M324" s="115">
        <v>45961.45347222222</v>
      </c>
      <c r="N324" s="48">
        <f t="shared" si="3"/>
        <v>0.1618055556</v>
      </c>
      <c r="O324" s="48">
        <f t="shared" si="4"/>
        <v>233</v>
      </c>
      <c r="T324" s="110"/>
    </row>
    <row r="325" ht="15.75" customHeight="1">
      <c r="J325" s="113">
        <v>1.0</v>
      </c>
      <c r="K325" s="114" t="s">
        <v>138</v>
      </c>
      <c r="L325" s="115">
        <v>45961.291666666664</v>
      </c>
      <c r="M325" s="115">
        <v>45961.415972222225</v>
      </c>
      <c r="N325" s="48">
        <f t="shared" si="3"/>
        <v>0.1243055556</v>
      </c>
      <c r="O325" s="48">
        <f t="shared" si="4"/>
        <v>179</v>
      </c>
      <c r="T325" s="110"/>
    </row>
    <row r="326" ht="15.75" customHeight="1">
      <c r="J326" s="113">
        <v>1.0</v>
      </c>
      <c r="K326" s="114" t="s">
        <v>138</v>
      </c>
      <c r="L326" s="115">
        <v>45961.291666666664</v>
      </c>
      <c r="M326" s="115">
        <v>45961.45625</v>
      </c>
      <c r="N326" s="48">
        <f t="shared" si="3"/>
        <v>0.1645833333</v>
      </c>
      <c r="O326" s="48">
        <f t="shared" si="4"/>
        <v>237</v>
      </c>
      <c r="T326" s="110"/>
    </row>
    <row r="327" ht="15.75" customHeight="1">
      <c r="J327" s="113">
        <v>1.0</v>
      </c>
      <c r="K327" s="114" t="s">
        <v>127</v>
      </c>
      <c r="L327" s="115">
        <v>45961.291666666664</v>
      </c>
      <c r="M327" s="115">
        <v>45961.478472222225</v>
      </c>
      <c r="N327" s="48">
        <f t="shared" si="3"/>
        <v>0.1868055556</v>
      </c>
      <c r="O327" s="48">
        <f t="shared" si="4"/>
        <v>269</v>
      </c>
      <c r="T327" s="110"/>
    </row>
    <row r="328" ht="15.75" customHeight="1">
      <c r="J328" s="113">
        <v>1.0</v>
      </c>
      <c r="K328" s="114" t="s">
        <v>133</v>
      </c>
      <c r="L328" s="115">
        <v>45961.291666666664</v>
      </c>
      <c r="M328" s="115">
        <v>45961.48055555556</v>
      </c>
      <c r="N328" s="48">
        <f t="shared" si="3"/>
        <v>0.1888888889</v>
      </c>
      <c r="O328" s="48">
        <f t="shared" si="4"/>
        <v>272</v>
      </c>
      <c r="T328" s="110"/>
    </row>
    <row r="329" ht="15.75" customHeight="1">
      <c r="J329" s="113">
        <v>1.0</v>
      </c>
      <c r="K329" s="114" t="s">
        <v>143</v>
      </c>
      <c r="L329" s="115">
        <v>45961.291666666664</v>
      </c>
      <c r="M329" s="115">
        <v>45961.475694444445</v>
      </c>
      <c r="N329" s="48">
        <f t="shared" si="3"/>
        <v>0.1840277778</v>
      </c>
      <c r="O329" s="48">
        <f t="shared" si="4"/>
        <v>265</v>
      </c>
      <c r="T329" s="110"/>
    </row>
    <row r="330" ht="15.75" customHeight="1">
      <c r="J330" s="113">
        <v>1.0</v>
      </c>
      <c r="K330" s="114" t="s">
        <v>135</v>
      </c>
      <c r="L330" s="115">
        <v>45961.291666666664</v>
      </c>
      <c r="M330" s="115">
        <v>45960.90972222222</v>
      </c>
      <c r="N330" s="48">
        <f t="shared" si="3"/>
        <v>-0.3819444444</v>
      </c>
      <c r="O330" s="48">
        <f t="shared" si="4"/>
        <v>-550</v>
      </c>
      <c r="T330" s="110"/>
    </row>
    <row r="331" ht="15.75" customHeight="1">
      <c r="J331" s="113">
        <v>1.0</v>
      </c>
      <c r="K331" s="114" t="s">
        <v>140</v>
      </c>
      <c r="L331" s="115">
        <v>45961.291666666664</v>
      </c>
      <c r="M331" s="115">
        <v>45961.415972222225</v>
      </c>
      <c r="N331" s="48">
        <f t="shared" si="3"/>
        <v>0.1243055556</v>
      </c>
      <c r="O331" s="48">
        <f t="shared" si="4"/>
        <v>179</v>
      </c>
      <c r="T331" s="110"/>
    </row>
    <row r="332" ht="15.75" customHeight="1">
      <c r="J332" s="113">
        <v>1.0</v>
      </c>
      <c r="K332" s="114" t="s">
        <v>141</v>
      </c>
      <c r="L332" s="115">
        <v>45961.291666666664</v>
      </c>
      <c r="M332" s="115">
        <v>45961.47777777778</v>
      </c>
      <c r="N332" s="48">
        <f t="shared" si="3"/>
        <v>0.1861111111</v>
      </c>
      <c r="O332" s="48">
        <f t="shared" si="4"/>
        <v>268</v>
      </c>
      <c r="T332" s="110"/>
    </row>
    <row r="333" ht="15.75" customHeight="1">
      <c r="J333" s="113">
        <v>1.0</v>
      </c>
      <c r="K333" s="114" t="s">
        <v>122</v>
      </c>
      <c r="L333" s="115">
        <v>45961.291666666664</v>
      </c>
      <c r="M333" s="115">
        <v>45961.45416666667</v>
      </c>
      <c r="N333" s="48">
        <f t="shared" si="3"/>
        <v>0.1625</v>
      </c>
      <c r="O333" s="48">
        <f t="shared" si="4"/>
        <v>234</v>
      </c>
      <c r="T333" s="110"/>
    </row>
    <row r="334" ht="15.75" customHeight="1">
      <c r="J334" s="113">
        <v>1.0</v>
      </c>
      <c r="K334" s="114" t="s">
        <v>122</v>
      </c>
      <c r="L334" s="115">
        <v>45961.291666666664</v>
      </c>
      <c r="M334" s="115">
        <v>45961.45486111111</v>
      </c>
      <c r="N334" s="48">
        <f t="shared" si="3"/>
        <v>0.1631944444</v>
      </c>
      <c r="O334" s="48">
        <f t="shared" si="4"/>
        <v>235</v>
      </c>
      <c r="T334" s="110"/>
    </row>
    <row r="335" ht="15.75" customHeight="1">
      <c r="J335" s="113">
        <v>1.0</v>
      </c>
      <c r="K335" s="114" t="s">
        <v>122</v>
      </c>
      <c r="L335" s="115">
        <v>45961.291666666664</v>
      </c>
      <c r="M335" s="115">
        <v>45961.45486111111</v>
      </c>
      <c r="N335" s="48">
        <f t="shared" si="3"/>
        <v>0.1631944444</v>
      </c>
      <c r="O335" s="48">
        <f t="shared" si="4"/>
        <v>235</v>
      </c>
      <c r="T335" s="110"/>
    </row>
    <row r="336" ht="15.75" customHeight="1">
      <c r="J336" s="113">
        <v>1.0</v>
      </c>
      <c r="K336" s="114" t="s">
        <v>124</v>
      </c>
      <c r="L336" s="115">
        <v>45961.291666666664</v>
      </c>
      <c r="M336" s="115">
        <v>45961.45416666667</v>
      </c>
      <c r="N336" s="48">
        <f t="shared" si="3"/>
        <v>0.1625</v>
      </c>
      <c r="O336" s="48">
        <f t="shared" si="4"/>
        <v>234</v>
      </c>
      <c r="T336" s="110"/>
    </row>
    <row r="337" ht="15.75" customHeight="1">
      <c r="J337" s="113">
        <v>1.0</v>
      </c>
      <c r="K337" s="114" t="s">
        <v>123</v>
      </c>
      <c r="L337" s="115">
        <v>45961.291666666664</v>
      </c>
      <c r="M337" s="115">
        <v>45961.42083333333</v>
      </c>
      <c r="N337" s="48">
        <f t="shared" si="3"/>
        <v>0.1291666667</v>
      </c>
      <c r="O337" s="48">
        <f t="shared" si="4"/>
        <v>186</v>
      </c>
      <c r="T337" s="110"/>
    </row>
    <row r="338" ht="15.75" customHeight="1">
      <c r="J338" s="113">
        <v>1.0</v>
      </c>
      <c r="K338" s="114" t="s">
        <v>117</v>
      </c>
      <c r="L338" s="115">
        <v>45961.291666666664</v>
      </c>
      <c r="M338" s="115">
        <v>45961.48333333333</v>
      </c>
      <c r="N338" s="48">
        <f t="shared" si="3"/>
        <v>0.1916666667</v>
      </c>
      <c r="O338" s="48">
        <f t="shared" si="4"/>
        <v>276</v>
      </c>
      <c r="T338" s="110"/>
    </row>
    <row r="339" ht="15.75" customHeight="1">
      <c r="J339" s="113">
        <v>1.0</v>
      </c>
      <c r="K339" s="114" t="s">
        <v>140</v>
      </c>
      <c r="L339" s="115">
        <v>45961.291666666664</v>
      </c>
      <c r="M339" s="115">
        <v>45961.42847222222</v>
      </c>
      <c r="N339" s="48">
        <f t="shared" si="3"/>
        <v>0.1368055556</v>
      </c>
      <c r="O339" s="48">
        <f t="shared" si="4"/>
        <v>197</v>
      </c>
      <c r="T339" s="110"/>
    </row>
    <row r="340" ht="15.75" customHeight="1">
      <c r="J340" s="113">
        <v>1.0</v>
      </c>
      <c r="K340" s="114" t="s">
        <v>122</v>
      </c>
      <c r="L340" s="115">
        <v>45961.291666666664</v>
      </c>
      <c r="M340" s="115">
        <v>45961.45416666667</v>
      </c>
      <c r="N340" s="48">
        <f t="shared" si="3"/>
        <v>0.1625</v>
      </c>
      <c r="O340" s="48">
        <f t="shared" si="4"/>
        <v>234</v>
      </c>
      <c r="T340" s="110"/>
    </row>
    <row r="341" ht="15.75" customHeight="1">
      <c r="J341" s="113">
        <v>1.0</v>
      </c>
      <c r="K341" s="114" t="s">
        <v>123</v>
      </c>
      <c r="L341" s="115">
        <v>45961.291666666664</v>
      </c>
      <c r="M341" s="115">
        <v>45961.45625</v>
      </c>
      <c r="N341" s="48">
        <f t="shared" si="3"/>
        <v>0.1645833333</v>
      </c>
      <c r="O341" s="48">
        <f t="shared" si="4"/>
        <v>237</v>
      </c>
      <c r="T341" s="110"/>
    </row>
    <row r="342" ht="15.75" customHeight="1">
      <c r="J342" s="113">
        <v>1.0</v>
      </c>
      <c r="K342" s="114" t="s">
        <v>119</v>
      </c>
      <c r="L342" s="115">
        <v>45961.375</v>
      </c>
      <c r="M342" s="115">
        <v>45961.45347222222</v>
      </c>
      <c r="N342" s="48">
        <f t="shared" si="3"/>
        <v>0.07847222222</v>
      </c>
      <c r="O342" s="48">
        <f t="shared" si="4"/>
        <v>113</v>
      </c>
      <c r="T342" s="110"/>
    </row>
    <row r="343" ht="15.75" customHeight="1">
      <c r="J343" s="113">
        <v>1.0</v>
      </c>
      <c r="K343" s="114" t="s">
        <v>126</v>
      </c>
      <c r="L343" s="115">
        <v>45961.375</v>
      </c>
      <c r="M343" s="115">
        <v>45961.45347222222</v>
      </c>
      <c r="N343" s="48">
        <f t="shared" si="3"/>
        <v>0.07847222222</v>
      </c>
      <c r="O343" s="48">
        <f t="shared" si="4"/>
        <v>113</v>
      </c>
      <c r="T343" s="110"/>
    </row>
    <row r="344" ht="15.75" customHeight="1">
      <c r="J344" s="113">
        <v>1.0</v>
      </c>
      <c r="K344" s="114" t="s">
        <v>119</v>
      </c>
      <c r="L344" s="115">
        <v>45961.375</v>
      </c>
      <c r="M344" s="115">
        <v>45961.45347222222</v>
      </c>
      <c r="N344" s="48">
        <f t="shared" si="3"/>
        <v>0.07847222222</v>
      </c>
      <c r="O344" s="48">
        <f t="shared" si="4"/>
        <v>113</v>
      </c>
      <c r="T344" s="110"/>
    </row>
    <row r="345" ht="15.75" customHeight="1">
      <c r="J345" s="113">
        <v>1.0</v>
      </c>
      <c r="K345" s="114" t="s">
        <v>119</v>
      </c>
      <c r="L345" s="115">
        <v>45961.375</v>
      </c>
      <c r="M345" s="115">
        <v>45961.45347222222</v>
      </c>
      <c r="N345" s="48">
        <f t="shared" si="3"/>
        <v>0.07847222222</v>
      </c>
      <c r="O345" s="48">
        <f t="shared" si="4"/>
        <v>113</v>
      </c>
      <c r="T345" s="110"/>
    </row>
    <row r="346" ht="15.75" customHeight="1">
      <c r="J346" s="113">
        <v>1.0</v>
      </c>
      <c r="K346" s="114" t="s">
        <v>126</v>
      </c>
      <c r="L346" s="115">
        <v>45961.541666666664</v>
      </c>
      <c r="M346" s="115">
        <v>45961.60555555556</v>
      </c>
      <c r="N346" s="48">
        <f t="shared" si="3"/>
        <v>0.06388888889</v>
      </c>
      <c r="O346" s="48">
        <f t="shared" si="4"/>
        <v>92.00000001</v>
      </c>
      <c r="T346" s="110"/>
    </row>
    <row r="347" ht="15.75" customHeight="1">
      <c r="J347" s="113">
        <v>1.0</v>
      </c>
      <c r="K347" s="114" t="s">
        <v>137</v>
      </c>
      <c r="L347" s="115">
        <v>45961.541666666664</v>
      </c>
      <c r="M347" s="115">
        <v>45961.60555555556</v>
      </c>
      <c r="N347" s="48">
        <f t="shared" si="3"/>
        <v>0.06388888889</v>
      </c>
      <c r="O347" s="48">
        <f t="shared" si="4"/>
        <v>92.00000001</v>
      </c>
      <c r="T347" s="110"/>
    </row>
    <row r="348" ht="15.75" customHeight="1">
      <c r="J348" s="113">
        <v>1.0</v>
      </c>
      <c r="K348" s="114" t="s">
        <v>119</v>
      </c>
      <c r="L348" s="115">
        <v>45961.541666666664</v>
      </c>
      <c r="M348" s="115">
        <v>45961.614583333336</v>
      </c>
      <c r="N348" s="48">
        <f t="shared" si="3"/>
        <v>0.07291666667</v>
      </c>
      <c r="O348" s="48">
        <f t="shared" si="4"/>
        <v>105</v>
      </c>
      <c r="T348" s="110"/>
    </row>
    <row r="349" ht="15.75" customHeight="1">
      <c r="J349" s="120">
        <v>346.0</v>
      </c>
      <c r="K349" s="121"/>
      <c r="L349" s="121"/>
      <c r="M349" s="121"/>
      <c r="N349" s="48">
        <f t="shared" si="3"/>
        <v>0</v>
      </c>
      <c r="O349" s="48">
        <f t="shared" si="4"/>
        <v>0</v>
      </c>
      <c r="T349" s="110"/>
    </row>
    <row r="350" ht="15.75" customHeight="1">
      <c r="T350" s="110"/>
    </row>
    <row r="351" ht="15.75" customHeight="1">
      <c r="T351" s="110"/>
    </row>
    <row r="352" ht="15.75" customHeight="1">
      <c r="T352" s="110"/>
    </row>
    <row r="353" ht="15.75" customHeight="1">
      <c r="T353" s="110"/>
    </row>
    <row r="354" ht="15.75" customHeight="1">
      <c r="T354" s="110"/>
    </row>
    <row r="355" ht="15.75" customHeight="1">
      <c r="T355" s="110"/>
    </row>
    <row r="356" ht="15.75" customHeight="1">
      <c r="T356" s="110"/>
    </row>
    <row r="357" ht="15.75" customHeight="1">
      <c r="T357" s="110"/>
    </row>
    <row r="358" ht="15.75" customHeight="1">
      <c r="T358" s="110"/>
    </row>
    <row r="359" ht="15.75" customHeight="1">
      <c r="T359" s="110"/>
    </row>
    <row r="360" ht="15.75" customHeight="1">
      <c r="T360" s="110"/>
    </row>
    <row r="361" ht="15.75" customHeight="1">
      <c r="T361" s="110"/>
    </row>
    <row r="362" ht="15.75" customHeight="1">
      <c r="T362" s="110"/>
    </row>
    <row r="363" ht="15.75" customHeight="1">
      <c r="T363" s="110"/>
    </row>
    <row r="364" ht="15.75" customHeight="1">
      <c r="T364" s="110"/>
    </row>
    <row r="365" ht="15.75" customHeight="1">
      <c r="T365" s="110"/>
    </row>
    <row r="366" ht="15.75" customHeight="1">
      <c r="T366" s="110"/>
    </row>
    <row r="367" ht="15.75" customHeight="1">
      <c r="T367" s="110"/>
    </row>
    <row r="368" ht="15.75" customHeight="1">
      <c r="T368" s="110"/>
    </row>
    <row r="369" ht="15.75" customHeight="1">
      <c r="T369" s="110"/>
    </row>
    <row r="370" ht="15.75" customHeight="1">
      <c r="T370" s="110"/>
    </row>
    <row r="371" ht="15.75" customHeight="1">
      <c r="T371" s="110"/>
    </row>
    <row r="372" ht="15.75" customHeight="1">
      <c r="T372" s="110"/>
    </row>
    <row r="373" ht="15.75" customHeight="1">
      <c r="T373" s="110"/>
    </row>
    <row r="374" ht="15.75" customHeight="1">
      <c r="T374" s="110"/>
    </row>
    <row r="375" ht="15.75" customHeight="1">
      <c r="T375" s="110"/>
    </row>
    <row r="376" ht="15.75" customHeight="1">
      <c r="T376" s="110"/>
    </row>
    <row r="377" ht="15.75" customHeight="1">
      <c r="T377" s="110"/>
    </row>
    <row r="378" ht="15.75" customHeight="1">
      <c r="T378" s="110"/>
    </row>
    <row r="379" ht="15.75" customHeight="1">
      <c r="T379" s="110"/>
    </row>
    <row r="380" ht="15.75" customHeight="1">
      <c r="T380" s="110"/>
    </row>
    <row r="381" ht="15.75" customHeight="1">
      <c r="T381" s="110"/>
    </row>
    <row r="382" ht="15.75" customHeight="1">
      <c r="T382" s="110"/>
    </row>
    <row r="383" ht="15.75" customHeight="1">
      <c r="T383" s="110"/>
    </row>
    <row r="384" ht="15.75" customHeight="1">
      <c r="T384" s="110"/>
    </row>
    <row r="385" ht="15.75" customHeight="1">
      <c r="T385" s="110"/>
    </row>
    <row r="386" ht="15.75" customHeight="1">
      <c r="T386" s="110"/>
    </row>
    <row r="387" ht="15.75" customHeight="1">
      <c r="T387" s="110"/>
    </row>
    <row r="388" ht="15.75" customHeight="1">
      <c r="T388" s="110"/>
    </row>
    <row r="389" ht="15.75" customHeight="1">
      <c r="T389" s="110"/>
    </row>
    <row r="390" ht="15.75" customHeight="1">
      <c r="T390" s="110"/>
    </row>
    <row r="391" ht="15.75" customHeight="1">
      <c r="T391" s="110"/>
    </row>
    <row r="392" ht="15.75" customHeight="1">
      <c r="T392" s="110"/>
    </row>
    <row r="393" ht="15.75" customHeight="1">
      <c r="T393" s="110"/>
    </row>
    <row r="394" ht="15.75" customHeight="1">
      <c r="T394" s="110"/>
    </row>
    <row r="395" ht="15.75" customHeight="1">
      <c r="T395" s="110"/>
    </row>
    <row r="396" ht="15.75" customHeight="1">
      <c r="T396" s="110"/>
    </row>
    <row r="397" ht="15.75" customHeight="1">
      <c r="T397" s="110"/>
    </row>
    <row r="398" ht="15.75" customHeight="1">
      <c r="T398" s="110"/>
    </row>
    <row r="399" ht="15.75" customHeight="1">
      <c r="T399" s="110"/>
    </row>
    <row r="400" ht="15.75" customHeight="1">
      <c r="T400" s="110"/>
    </row>
    <row r="401" ht="15.75" customHeight="1">
      <c r="T401" s="110"/>
    </row>
    <row r="402" ht="15.75" customHeight="1">
      <c r="T402" s="110"/>
    </row>
    <row r="403" ht="15.75" customHeight="1">
      <c r="T403" s="110"/>
    </row>
    <row r="404" ht="15.75" customHeight="1">
      <c r="T404" s="110"/>
    </row>
    <row r="405" ht="15.75" customHeight="1">
      <c r="T405" s="110"/>
    </row>
    <row r="406" ht="15.75" customHeight="1">
      <c r="T406" s="110"/>
    </row>
    <row r="407" ht="15.75" customHeight="1">
      <c r="T407" s="110"/>
    </row>
    <row r="408" ht="15.75" customHeight="1">
      <c r="T408" s="110"/>
    </row>
    <row r="409" ht="15.75" customHeight="1">
      <c r="T409" s="110"/>
    </row>
    <row r="410" ht="15.75" customHeight="1">
      <c r="T410" s="110"/>
    </row>
    <row r="411" ht="15.75" customHeight="1">
      <c r="T411" s="110"/>
    </row>
    <row r="412" ht="15.75" customHeight="1">
      <c r="T412" s="110"/>
    </row>
    <row r="413" ht="15.75" customHeight="1">
      <c r="T413" s="110"/>
    </row>
    <row r="414" ht="15.75" customHeight="1">
      <c r="T414" s="110"/>
    </row>
    <row r="415" ht="15.75" customHeight="1">
      <c r="T415" s="110"/>
    </row>
    <row r="416" ht="15.75" customHeight="1">
      <c r="T416" s="110"/>
    </row>
    <row r="417" ht="15.75" customHeight="1">
      <c r="T417" s="110"/>
    </row>
    <row r="418" ht="15.75" customHeight="1">
      <c r="T418" s="110"/>
    </row>
    <row r="419" ht="15.75" customHeight="1">
      <c r="T419" s="110"/>
    </row>
    <row r="420" ht="15.75" customHeight="1">
      <c r="T420" s="110"/>
    </row>
    <row r="421" ht="15.75" customHeight="1">
      <c r="T421" s="110"/>
    </row>
    <row r="422" ht="15.75" customHeight="1">
      <c r="T422" s="110"/>
    </row>
    <row r="423" ht="15.75" customHeight="1">
      <c r="T423" s="110"/>
    </row>
    <row r="424" ht="15.75" customHeight="1">
      <c r="T424" s="110"/>
    </row>
    <row r="425" ht="15.75" customHeight="1">
      <c r="T425" s="110"/>
    </row>
    <row r="426" ht="15.75" customHeight="1">
      <c r="T426" s="110"/>
    </row>
    <row r="427" ht="15.75" customHeight="1">
      <c r="T427" s="110"/>
    </row>
    <row r="428" ht="15.75" customHeight="1">
      <c r="T428" s="110"/>
    </row>
    <row r="429" ht="15.75" customHeight="1">
      <c r="T429" s="110"/>
    </row>
    <row r="430" ht="15.75" customHeight="1">
      <c r="T430" s="110"/>
    </row>
    <row r="431" ht="15.75" customHeight="1">
      <c r="T431" s="110"/>
    </row>
    <row r="432" ht="15.75" customHeight="1">
      <c r="T432" s="110"/>
    </row>
    <row r="433" ht="15.75" customHeight="1">
      <c r="T433" s="110"/>
    </row>
    <row r="434" ht="15.75" customHeight="1">
      <c r="T434" s="110"/>
    </row>
    <row r="435" ht="15.75" customHeight="1">
      <c r="T435" s="110"/>
    </row>
    <row r="436" ht="15.75" customHeight="1">
      <c r="T436" s="110"/>
    </row>
    <row r="437" ht="15.75" customHeight="1">
      <c r="T437" s="110"/>
    </row>
    <row r="438" ht="15.75" customHeight="1">
      <c r="T438" s="110"/>
    </row>
    <row r="439" ht="15.75" customHeight="1">
      <c r="T439" s="110"/>
    </row>
    <row r="440" ht="15.75" customHeight="1">
      <c r="T440" s="110"/>
    </row>
    <row r="441" ht="15.75" customHeight="1">
      <c r="T441" s="110"/>
    </row>
    <row r="442" ht="15.75" customHeight="1">
      <c r="T442" s="110"/>
    </row>
    <row r="443" ht="15.75" customHeight="1">
      <c r="T443" s="110"/>
    </row>
    <row r="444" ht="15.75" customHeight="1">
      <c r="T444" s="110"/>
    </row>
    <row r="445" ht="15.75" customHeight="1">
      <c r="T445" s="110"/>
    </row>
    <row r="446" ht="15.75" customHeight="1">
      <c r="T446" s="110"/>
    </row>
    <row r="447" ht="15.75" customHeight="1">
      <c r="T447" s="110"/>
    </row>
    <row r="448" ht="15.75" customHeight="1">
      <c r="T448" s="110"/>
    </row>
    <row r="449" ht="15.75" customHeight="1">
      <c r="T449" s="110"/>
    </row>
    <row r="450" ht="15.75" customHeight="1">
      <c r="T450" s="110"/>
    </row>
    <row r="451" ht="15.75" customHeight="1">
      <c r="T451" s="110"/>
    </row>
    <row r="452" ht="15.75" customHeight="1">
      <c r="T452" s="110"/>
    </row>
    <row r="453" ht="15.75" customHeight="1">
      <c r="T453" s="110"/>
    </row>
    <row r="454" ht="15.75" customHeight="1">
      <c r="T454" s="110"/>
    </row>
    <row r="455" ht="15.75" customHeight="1">
      <c r="T455" s="110"/>
    </row>
    <row r="456" ht="15.75" customHeight="1">
      <c r="T456" s="110"/>
    </row>
    <row r="457" ht="15.75" customHeight="1">
      <c r="T457" s="110"/>
    </row>
    <row r="458" ht="15.75" customHeight="1">
      <c r="T458" s="110"/>
    </row>
    <row r="459" ht="15.75" customHeight="1">
      <c r="T459" s="110"/>
    </row>
    <row r="460" ht="15.75" customHeight="1">
      <c r="T460" s="110"/>
    </row>
    <row r="461" ht="15.75" customHeight="1">
      <c r="T461" s="110"/>
    </row>
    <row r="462" ht="15.75" customHeight="1">
      <c r="T462" s="110"/>
    </row>
    <row r="463" ht="15.75" customHeight="1">
      <c r="T463" s="110"/>
    </row>
    <row r="464" ht="15.75" customHeight="1">
      <c r="T464" s="110"/>
    </row>
    <row r="465" ht="15.75" customHeight="1">
      <c r="T465" s="110"/>
    </row>
    <row r="466" ht="15.75" customHeight="1">
      <c r="T466" s="110"/>
    </row>
    <row r="467" ht="15.75" customHeight="1">
      <c r="T467" s="110"/>
    </row>
    <row r="468" ht="15.75" customHeight="1">
      <c r="T468" s="110"/>
    </row>
    <row r="469" ht="15.75" customHeight="1">
      <c r="T469" s="110"/>
    </row>
    <row r="470" ht="15.75" customHeight="1">
      <c r="T470" s="110"/>
    </row>
    <row r="471" ht="15.75" customHeight="1">
      <c r="T471" s="110"/>
    </row>
    <row r="472" ht="15.75" customHeight="1">
      <c r="T472" s="110"/>
    </row>
    <row r="473" ht="15.75" customHeight="1">
      <c r="T473" s="110"/>
    </row>
    <row r="474" ht="15.75" customHeight="1">
      <c r="T474" s="110"/>
    </row>
    <row r="475" ht="15.75" customHeight="1">
      <c r="T475" s="110"/>
    </row>
    <row r="476" ht="15.75" customHeight="1">
      <c r="T476" s="110"/>
    </row>
    <row r="477" ht="15.75" customHeight="1">
      <c r="T477" s="110"/>
    </row>
    <row r="478" ht="15.75" customHeight="1">
      <c r="T478" s="110"/>
    </row>
    <row r="479" ht="15.75" customHeight="1">
      <c r="T479" s="110"/>
    </row>
    <row r="480" ht="15.75" customHeight="1">
      <c r="T480" s="110"/>
    </row>
    <row r="481" ht="15.75" customHeight="1">
      <c r="T481" s="110"/>
    </row>
    <row r="482" ht="15.75" customHeight="1">
      <c r="T482" s="110"/>
    </row>
    <row r="483" ht="15.75" customHeight="1">
      <c r="T483" s="110"/>
    </row>
    <row r="484" ht="15.75" customHeight="1">
      <c r="T484" s="110"/>
    </row>
    <row r="485" ht="15.75" customHeight="1">
      <c r="T485" s="110"/>
    </row>
    <row r="486" ht="15.75" customHeight="1">
      <c r="T486" s="110"/>
    </row>
    <row r="487" ht="15.75" customHeight="1">
      <c r="T487" s="110"/>
    </row>
    <row r="488" ht="15.75" customHeight="1">
      <c r="T488" s="110"/>
    </row>
    <row r="489" ht="15.75" customHeight="1">
      <c r="T489" s="110"/>
    </row>
    <row r="490" ht="15.75" customHeight="1">
      <c r="T490" s="110"/>
    </row>
    <row r="491" ht="15.75" customHeight="1">
      <c r="T491" s="110"/>
    </row>
    <row r="492" ht="15.75" customHeight="1">
      <c r="T492" s="110"/>
    </row>
    <row r="493" ht="15.75" customHeight="1">
      <c r="T493" s="110"/>
    </row>
    <row r="494" ht="15.75" customHeight="1">
      <c r="T494" s="110"/>
    </row>
    <row r="495" ht="15.75" customHeight="1">
      <c r="T495" s="110"/>
    </row>
    <row r="496" ht="15.75" customHeight="1">
      <c r="T496" s="110"/>
    </row>
    <row r="497" ht="15.75" customHeight="1">
      <c r="T497" s="110"/>
    </row>
    <row r="498" ht="15.75" customHeight="1">
      <c r="T498" s="110"/>
    </row>
    <row r="499" ht="15.75" customHeight="1">
      <c r="T499" s="110"/>
    </row>
    <row r="500" ht="15.75" customHeight="1">
      <c r="T500" s="110"/>
    </row>
    <row r="501" ht="15.75" customHeight="1">
      <c r="T501" s="110"/>
    </row>
    <row r="502" ht="15.75" customHeight="1">
      <c r="T502" s="110"/>
    </row>
    <row r="503" ht="15.75" customHeight="1">
      <c r="T503" s="110"/>
    </row>
    <row r="504" ht="15.75" customHeight="1">
      <c r="T504" s="110"/>
    </row>
    <row r="505" ht="15.75" customHeight="1">
      <c r="T505" s="110"/>
    </row>
    <row r="506" ht="15.75" customHeight="1">
      <c r="T506" s="110"/>
    </row>
    <row r="507" ht="15.75" customHeight="1">
      <c r="T507" s="110"/>
    </row>
    <row r="508" ht="15.75" customHeight="1">
      <c r="T508" s="110"/>
    </row>
    <row r="509" ht="15.75" customHeight="1">
      <c r="T509" s="110"/>
    </row>
    <row r="510" ht="15.75" customHeight="1">
      <c r="T510" s="110"/>
    </row>
    <row r="511" ht="15.75" customHeight="1">
      <c r="T511" s="110"/>
    </row>
    <row r="512" ht="15.75" customHeight="1">
      <c r="T512" s="110"/>
    </row>
    <row r="513" ht="15.75" customHeight="1">
      <c r="T513" s="110"/>
    </row>
    <row r="514" ht="15.75" customHeight="1">
      <c r="T514" s="110"/>
    </row>
    <row r="515" ht="15.75" customHeight="1">
      <c r="T515" s="110"/>
    </row>
    <row r="516" ht="15.75" customHeight="1">
      <c r="T516" s="110"/>
    </row>
    <row r="517" ht="15.75" customHeight="1">
      <c r="T517" s="110"/>
    </row>
    <row r="518" ht="15.75" customHeight="1">
      <c r="T518" s="110"/>
    </row>
    <row r="519" ht="15.75" customHeight="1">
      <c r="T519" s="110"/>
    </row>
    <row r="520" ht="15.75" customHeight="1">
      <c r="T520" s="110"/>
    </row>
    <row r="521" ht="15.75" customHeight="1">
      <c r="T521" s="110"/>
    </row>
    <row r="522" ht="15.75" customHeight="1">
      <c r="T522" s="110"/>
    </row>
    <row r="523" ht="15.75" customHeight="1">
      <c r="T523" s="110"/>
    </row>
    <row r="524" ht="15.75" customHeight="1">
      <c r="T524" s="110"/>
    </row>
    <row r="525" ht="15.75" customHeight="1">
      <c r="T525" s="110"/>
    </row>
    <row r="526" ht="15.75" customHeight="1">
      <c r="T526" s="110"/>
    </row>
    <row r="527" ht="15.75" customHeight="1">
      <c r="T527" s="110"/>
    </row>
    <row r="528" ht="15.75" customHeight="1">
      <c r="T528" s="110"/>
    </row>
    <row r="529" ht="15.75" customHeight="1">
      <c r="T529" s="110"/>
    </row>
    <row r="530" ht="15.75" customHeight="1">
      <c r="T530" s="110"/>
    </row>
    <row r="531" ht="15.75" customHeight="1">
      <c r="T531" s="110"/>
    </row>
    <row r="532" ht="15.75" customHeight="1">
      <c r="T532" s="110"/>
    </row>
    <row r="533" ht="15.75" customHeight="1">
      <c r="T533" s="110"/>
    </row>
    <row r="534" ht="15.75" customHeight="1">
      <c r="T534" s="110"/>
    </row>
    <row r="535" ht="15.75" customHeight="1">
      <c r="T535" s="110"/>
    </row>
    <row r="536" ht="15.75" customHeight="1">
      <c r="T536" s="110"/>
    </row>
    <row r="537" ht="15.75" customHeight="1">
      <c r="T537" s="110"/>
    </row>
    <row r="538" ht="15.75" customHeight="1">
      <c r="T538" s="110"/>
    </row>
    <row r="539" ht="15.75" customHeight="1">
      <c r="T539" s="110"/>
    </row>
    <row r="540" ht="15.75" customHeight="1">
      <c r="T540" s="110"/>
    </row>
    <row r="541" ht="15.75" customHeight="1">
      <c r="T541" s="110"/>
    </row>
    <row r="542" ht="15.75" customHeight="1">
      <c r="T542" s="110"/>
    </row>
    <row r="543" ht="15.75" customHeight="1">
      <c r="T543" s="110"/>
    </row>
    <row r="544" ht="15.75" customHeight="1">
      <c r="T544" s="110"/>
    </row>
    <row r="545" ht="15.75" customHeight="1">
      <c r="T545" s="110"/>
    </row>
    <row r="546" ht="15.75" customHeight="1">
      <c r="T546" s="110"/>
    </row>
    <row r="547" ht="15.75" customHeight="1">
      <c r="T547" s="110"/>
    </row>
    <row r="548" ht="15.75" customHeight="1">
      <c r="T548" s="110"/>
    </row>
    <row r="549" ht="15.75" customHeight="1">
      <c r="T549" s="110"/>
    </row>
    <row r="550" ht="15.75" customHeight="1">
      <c r="T550" s="110"/>
    </row>
    <row r="551" ht="15.75" customHeight="1">
      <c r="T551" s="110"/>
    </row>
    <row r="552" ht="15.75" customHeight="1">
      <c r="T552" s="110"/>
    </row>
    <row r="553" ht="15.75" customHeight="1">
      <c r="T553" s="110"/>
    </row>
    <row r="554" ht="15.75" customHeight="1">
      <c r="T554" s="110"/>
    </row>
    <row r="555" ht="15.75" customHeight="1">
      <c r="T555" s="110"/>
    </row>
    <row r="556" ht="15.75" customHeight="1">
      <c r="T556" s="110"/>
    </row>
    <row r="557" ht="15.75" customHeight="1">
      <c r="T557" s="110"/>
    </row>
    <row r="558" ht="15.75" customHeight="1">
      <c r="T558" s="110"/>
    </row>
    <row r="559" ht="15.75" customHeight="1">
      <c r="T559" s="110"/>
    </row>
    <row r="560" ht="15.75" customHeight="1">
      <c r="T560" s="110"/>
    </row>
    <row r="561" ht="15.75" customHeight="1">
      <c r="T561" s="110"/>
    </row>
    <row r="562" ht="15.75" customHeight="1">
      <c r="T562" s="110"/>
    </row>
    <row r="563" ht="15.75" customHeight="1">
      <c r="T563" s="110"/>
    </row>
    <row r="564" ht="15.75" customHeight="1">
      <c r="T564" s="110"/>
    </row>
    <row r="565" ht="15.75" customHeight="1">
      <c r="T565" s="110"/>
    </row>
    <row r="566" ht="15.75" customHeight="1">
      <c r="T566" s="110"/>
    </row>
    <row r="567" ht="15.75" customHeight="1">
      <c r="T567" s="110"/>
    </row>
    <row r="568" ht="15.75" customHeight="1">
      <c r="T568" s="110"/>
    </row>
    <row r="569" ht="15.75" customHeight="1">
      <c r="T569" s="110"/>
    </row>
    <row r="570" ht="15.75" customHeight="1">
      <c r="T570" s="110"/>
    </row>
    <row r="571" ht="15.75" customHeight="1">
      <c r="T571" s="110"/>
    </row>
    <row r="572" ht="15.75" customHeight="1">
      <c r="T572" s="110"/>
    </row>
    <row r="573" ht="15.75" customHeight="1">
      <c r="T573" s="110"/>
    </row>
    <row r="574" ht="15.75" customHeight="1">
      <c r="T574" s="110"/>
    </row>
    <row r="575" ht="15.75" customHeight="1">
      <c r="T575" s="110"/>
    </row>
    <row r="576" ht="15.75" customHeight="1">
      <c r="T576" s="110"/>
    </row>
    <row r="577" ht="15.75" customHeight="1">
      <c r="T577" s="110"/>
    </row>
    <row r="578" ht="15.75" customHeight="1">
      <c r="T578" s="110"/>
    </row>
    <row r="579" ht="15.75" customHeight="1">
      <c r="T579" s="110"/>
    </row>
    <row r="580" ht="15.75" customHeight="1">
      <c r="T580" s="110"/>
    </row>
    <row r="581" ht="15.75" customHeight="1">
      <c r="T581" s="110"/>
    </row>
    <row r="582" ht="15.75" customHeight="1">
      <c r="T582" s="110"/>
    </row>
    <row r="583" ht="15.75" customHeight="1">
      <c r="T583" s="110"/>
    </row>
    <row r="584" ht="15.75" customHeight="1">
      <c r="T584" s="110"/>
    </row>
    <row r="585" ht="15.75" customHeight="1">
      <c r="T585" s="110"/>
    </row>
    <row r="586" ht="15.75" customHeight="1">
      <c r="T586" s="110"/>
    </row>
    <row r="587" ht="15.75" customHeight="1">
      <c r="T587" s="110"/>
    </row>
    <row r="588" ht="15.75" customHeight="1">
      <c r="T588" s="110"/>
    </row>
    <row r="589" ht="15.75" customHeight="1">
      <c r="T589" s="110"/>
    </row>
    <row r="590" ht="15.75" customHeight="1">
      <c r="T590" s="110"/>
    </row>
    <row r="591" ht="15.75" customHeight="1">
      <c r="T591" s="110"/>
    </row>
    <row r="592" ht="15.75" customHeight="1">
      <c r="T592" s="110"/>
    </row>
    <row r="593" ht="15.75" customHeight="1">
      <c r="T593" s="110"/>
    </row>
    <row r="594" ht="15.75" customHeight="1">
      <c r="T594" s="110"/>
    </row>
    <row r="595" ht="15.75" customHeight="1">
      <c r="T595" s="110"/>
    </row>
    <row r="596" ht="15.75" customHeight="1">
      <c r="T596" s="110"/>
    </row>
    <row r="597" ht="15.75" customHeight="1">
      <c r="T597" s="110"/>
    </row>
    <row r="598" ht="15.75" customHeight="1">
      <c r="T598" s="110"/>
    </row>
    <row r="599" ht="15.75" customHeight="1">
      <c r="T599" s="110"/>
    </row>
    <row r="600" ht="15.75" customHeight="1">
      <c r="T600" s="110"/>
    </row>
    <row r="601" ht="15.75" customHeight="1">
      <c r="T601" s="110"/>
    </row>
    <row r="602" ht="15.75" customHeight="1">
      <c r="T602" s="110"/>
    </row>
    <row r="603" ht="15.75" customHeight="1">
      <c r="T603" s="110"/>
    </row>
    <row r="604" ht="15.75" customHeight="1">
      <c r="T604" s="110"/>
    </row>
    <row r="605" ht="15.75" customHeight="1">
      <c r="T605" s="110"/>
    </row>
    <row r="606" ht="15.75" customHeight="1">
      <c r="T606" s="110"/>
    </row>
    <row r="607" ht="15.75" customHeight="1">
      <c r="T607" s="110"/>
    </row>
    <row r="608" ht="15.75" customHeight="1">
      <c r="T608" s="110"/>
    </row>
    <row r="609" ht="15.75" customHeight="1">
      <c r="T609" s="110"/>
    </row>
    <row r="610" ht="15.75" customHeight="1">
      <c r="T610" s="110"/>
    </row>
    <row r="611" ht="15.75" customHeight="1">
      <c r="T611" s="110"/>
    </row>
    <row r="612" ht="15.75" customHeight="1">
      <c r="T612" s="110"/>
    </row>
    <row r="613" ht="15.75" customHeight="1">
      <c r="T613" s="110"/>
    </row>
    <row r="614" ht="15.75" customHeight="1">
      <c r="T614" s="110"/>
    </row>
    <row r="615" ht="15.75" customHeight="1">
      <c r="T615" s="110"/>
    </row>
    <row r="616" ht="15.75" customHeight="1">
      <c r="T616" s="110"/>
    </row>
    <row r="617" ht="15.75" customHeight="1">
      <c r="T617" s="110"/>
    </row>
    <row r="618" ht="15.75" customHeight="1">
      <c r="T618" s="110"/>
    </row>
    <row r="619" ht="15.75" customHeight="1">
      <c r="T619" s="110"/>
    </row>
    <row r="620" ht="15.75" customHeight="1">
      <c r="T620" s="110"/>
    </row>
    <row r="621" ht="15.75" customHeight="1">
      <c r="T621" s="110"/>
    </row>
    <row r="622" ht="15.75" customHeight="1">
      <c r="T622" s="110"/>
    </row>
    <row r="623" ht="15.75" customHeight="1">
      <c r="T623" s="110"/>
    </row>
    <row r="624" ht="15.75" customHeight="1">
      <c r="T624" s="110"/>
    </row>
    <row r="625" ht="15.75" customHeight="1">
      <c r="T625" s="110"/>
    </row>
    <row r="626" ht="15.75" customHeight="1">
      <c r="T626" s="110"/>
    </row>
    <row r="627" ht="15.75" customHeight="1">
      <c r="T627" s="110"/>
    </row>
    <row r="628" ht="15.75" customHeight="1">
      <c r="T628" s="110"/>
    </row>
    <row r="629" ht="15.75" customHeight="1">
      <c r="T629" s="110"/>
    </row>
    <row r="630" ht="15.75" customHeight="1">
      <c r="T630" s="110"/>
    </row>
    <row r="631" ht="15.75" customHeight="1">
      <c r="T631" s="110"/>
    </row>
    <row r="632" ht="15.75" customHeight="1">
      <c r="T632" s="110"/>
    </row>
    <row r="633" ht="15.75" customHeight="1">
      <c r="T633" s="110"/>
    </row>
    <row r="634" ht="15.75" customHeight="1">
      <c r="T634" s="110"/>
    </row>
    <row r="635" ht="15.75" customHeight="1">
      <c r="T635" s="110"/>
    </row>
    <row r="636" ht="15.75" customHeight="1">
      <c r="T636" s="110"/>
    </row>
    <row r="637" ht="15.75" customHeight="1">
      <c r="T637" s="110"/>
    </row>
    <row r="638" ht="15.75" customHeight="1">
      <c r="T638" s="110"/>
    </row>
    <row r="639" ht="15.75" customHeight="1">
      <c r="T639" s="110"/>
    </row>
    <row r="640" ht="15.75" customHeight="1">
      <c r="T640" s="110"/>
    </row>
    <row r="641" ht="15.75" customHeight="1">
      <c r="T641" s="110"/>
    </row>
    <row r="642" ht="15.75" customHeight="1">
      <c r="T642" s="110"/>
    </row>
    <row r="643" ht="15.75" customHeight="1">
      <c r="T643" s="110"/>
    </row>
    <row r="644" ht="15.75" customHeight="1">
      <c r="T644" s="110"/>
    </row>
    <row r="645" ht="15.75" customHeight="1">
      <c r="T645" s="110"/>
    </row>
    <row r="646" ht="15.75" customHeight="1">
      <c r="T646" s="110"/>
    </row>
    <row r="647" ht="15.75" customHeight="1">
      <c r="T647" s="110"/>
    </row>
    <row r="648" ht="15.75" customHeight="1">
      <c r="T648" s="110"/>
    </row>
    <row r="649" ht="15.75" customHeight="1">
      <c r="T649" s="110"/>
    </row>
    <row r="650" ht="15.75" customHeight="1">
      <c r="T650" s="110"/>
    </row>
    <row r="651" ht="15.75" customHeight="1">
      <c r="T651" s="110"/>
    </row>
    <row r="652" ht="15.75" customHeight="1">
      <c r="T652" s="110"/>
    </row>
    <row r="653" ht="15.75" customHeight="1">
      <c r="T653" s="110"/>
    </row>
    <row r="654" ht="15.75" customHeight="1">
      <c r="T654" s="110"/>
    </row>
    <row r="655" ht="15.75" customHeight="1">
      <c r="T655" s="110"/>
    </row>
    <row r="656" ht="15.75" customHeight="1">
      <c r="T656" s="110"/>
    </row>
    <row r="657" ht="15.75" customHeight="1">
      <c r="T657" s="110"/>
    </row>
    <row r="658" ht="15.75" customHeight="1">
      <c r="T658" s="110"/>
    </row>
    <row r="659" ht="15.75" customHeight="1">
      <c r="T659" s="110"/>
    </row>
    <row r="660" ht="15.75" customHeight="1">
      <c r="T660" s="110"/>
    </row>
    <row r="661" ht="15.75" customHeight="1">
      <c r="T661" s="110"/>
    </row>
    <row r="662" ht="15.75" customHeight="1">
      <c r="T662" s="110"/>
    </row>
    <row r="663" ht="15.75" customHeight="1">
      <c r="T663" s="110"/>
    </row>
    <row r="664" ht="15.75" customHeight="1">
      <c r="T664" s="110"/>
    </row>
    <row r="665" ht="15.75" customHeight="1">
      <c r="T665" s="110"/>
    </row>
    <row r="666" ht="15.75" customHeight="1">
      <c r="T666" s="110"/>
    </row>
    <row r="667" ht="15.75" customHeight="1">
      <c r="T667" s="110"/>
    </row>
    <row r="668" ht="15.75" customHeight="1">
      <c r="T668" s="110"/>
    </row>
    <row r="669" ht="15.75" customHeight="1">
      <c r="T669" s="110"/>
    </row>
    <row r="670" ht="15.75" customHeight="1">
      <c r="T670" s="110"/>
    </row>
    <row r="671" ht="15.75" customHeight="1">
      <c r="T671" s="110"/>
    </row>
    <row r="672" ht="15.75" customHeight="1">
      <c r="T672" s="110"/>
    </row>
    <row r="673" ht="15.75" customHeight="1">
      <c r="T673" s="110"/>
    </row>
    <row r="674" ht="15.75" customHeight="1">
      <c r="T674" s="110"/>
    </row>
    <row r="675" ht="15.75" customHeight="1">
      <c r="T675" s="110"/>
    </row>
    <row r="676" ht="15.75" customHeight="1">
      <c r="T676" s="110"/>
    </row>
    <row r="677" ht="15.75" customHeight="1">
      <c r="T677" s="110"/>
    </row>
    <row r="678" ht="15.75" customHeight="1">
      <c r="T678" s="110"/>
    </row>
    <row r="679" ht="15.75" customHeight="1">
      <c r="T679" s="110"/>
    </row>
    <row r="680" ht="15.75" customHeight="1">
      <c r="T680" s="110"/>
    </row>
    <row r="681" ht="15.75" customHeight="1">
      <c r="T681" s="110"/>
    </row>
    <row r="682" ht="15.75" customHeight="1">
      <c r="T682" s="110"/>
    </row>
    <row r="683" ht="15.75" customHeight="1">
      <c r="T683" s="110"/>
    </row>
    <row r="684" ht="15.75" customHeight="1">
      <c r="T684" s="110"/>
    </row>
    <row r="685" ht="15.75" customHeight="1">
      <c r="T685" s="110"/>
    </row>
    <row r="686" ht="15.75" customHeight="1">
      <c r="T686" s="110"/>
    </row>
    <row r="687" ht="15.75" customHeight="1">
      <c r="T687" s="110"/>
    </row>
    <row r="688" ht="15.75" customHeight="1">
      <c r="T688" s="110"/>
    </row>
    <row r="689" ht="15.75" customHeight="1">
      <c r="T689" s="110"/>
    </row>
    <row r="690" ht="15.75" customHeight="1">
      <c r="T690" s="110"/>
    </row>
    <row r="691" ht="15.75" customHeight="1">
      <c r="T691" s="110"/>
    </row>
    <row r="692" ht="15.75" customHeight="1">
      <c r="T692" s="110"/>
    </row>
    <row r="693" ht="15.75" customHeight="1">
      <c r="T693" s="110"/>
    </row>
    <row r="694" ht="15.75" customHeight="1">
      <c r="T694" s="110"/>
    </row>
    <row r="695" ht="15.75" customHeight="1">
      <c r="T695" s="110"/>
    </row>
    <row r="696" ht="15.75" customHeight="1">
      <c r="T696" s="110"/>
    </row>
    <row r="697" ht="15.75" customHeight="1">
      <c r="T697" s="110"/>
    </row>
    <row r="698" ht="15.75" customHeight="1">
      <c r="T698" s="110"/>
    </row>
    <row r="699" ht="15.75" customHeight="1">
      <c r="T699" s="110"/>
    </row>
    <row r="700" ht="15.75" customHeight="1">
      <c r="T700" s="110"/>
    </row>
    <row r="701" ht="15.75" customHeight="1">
      <c r="T701" s="110"/>
    </row>
    <row r="702" ht="15.75" customHeight="1">
      <c r="T702" s="110"/>
    </row>
    <row r="703" ht="15.75" customHeight="1">
      <c r="T703" s="110"/>
    </row>
    <row r="704" ht="15.75" customHeight="1">
      <c r="T704" s="110"/>
    </row>
    <row r="705" ht="15.75" customHeight="1">
      <c r="T705" s="110"/>
    </row>
    <row r="706" ht="15.75" customHeight="1">
      <c r="T706" s="110"/>
    </row>
    <row r="707" ht="15.75" customHeight="1">
      <c r="T707" s="110"/>
    </row>
    <row r="708" ht="15.75" customHeight="1">
      <c r="T708" s="110"/>
    </row>
    <row r="709" ht="15.75" customHeight="1">
      <c r="T709" s="110"/>
    </row>
    <row r="710" ht="15.75" customHeight="1">
      <c r="T710" s="110"/>
    </row>
    <row r="711" ht="15.75" customHeight="1">
      <c r="T711" s="110"/>
    </row>
    <row r="712" ht="15.75" customHeight="1">
      <c r="T712" s="110"/>
    </row>
    <row r="713" ht="15.75" customHeight="1">
      <c r="T713" s="110"/>
    </row>
    <row r="714" ht="15.75" customHeight="1">
      <c r="T714" s="110"/>
    </row>
    <row r="715" ht="15.75" customHeight="1">
      <c r="T715" s="110"/>
    </row>
    <row r="716" ht="15.75" customHeight="1">
      <c r="T716" s="110"/>
    </row>
    <row r="717" ht="15.75" customHeight="1">
      <c r="T717" s="110"/>
    </row>
    <row r="718" ht="15.75" customHeight="1">
      <c r="T718" s="110"/>
    </row>
    <row r="719" ht="15.75" customHeight="1">
      <c r="T719" s="110"/>
    </row>
    <row r="720" ht="15.75" customHeight="1">
      <c r="T720" s="110"/>
    </row>
    <row r="721" ht="15.75" customHeight="1">
      <c r="T721" s="110"/>
    </row>
    <row r="722" ht="15.75" customHeight="1">
      <c r="T722" s="110"/>
    </row>
    <row r="723" ht="15.75" customHeight="1">
      <c r="T723" s="110"/>
    </row>
    <row r="724" ht="15.75" customHeight="1">
      <c r="T724" s="110"/>
    </row>
    <row r="725" ht="15.75" customHeight="1">
      <c r="T725" s="110"/>
    </row>
    <row r="726" ht="15.75" customHeight="1">
      <c r="T726" s="110"/>
    </row>
    <row r="727" ht="15.75" customHeight="1">
      <c r="T727" s="110"/>
    </row>
    <row r="728" ht="15.75" customHeight="1">
      <c r="T728" s="110"/>
    </row>
    <row r="729" ht="15.75" customHeight="1">
      <c r="T729" s="110"/>
    </row>
    <row r="730" ht="15.75" customHeight="1">
      <c r="T730" s="110"/>
    </row>
    <row r="731" ht="15.75" customHeight="1">
      <c r="T731" s="110"/>
    </row>
    <row r="732" ht="15.75" customHeight="1">
      <c r="T732" s="110"/>
    </row>
    <row r="733" ht="15.75" customHeight="1">
      <c r="T733" s="110"/>
    </row>
    <row r="734" ht="15.75" customHeight="1">
      <c r="T734" s="110"/>
    </row>
    <row r="735" ht="15.75" customHeight="1">
      <c r="T735" s="110"/>
    </row>
    <row r="736" ht="15.75" customHeight="1">
      <c r="T736" s="110"/>
    </row>
    <row r="737" ht="15.75" customHeight="1">
      <c r="T737" s="110"/>
    </row>
    <row r="738" ht="15.75" customHeight="1">
      <c r="T738" s="110"/>
    </row>
    <row r="739" ht="15.75" customHeight="1">
      <c r="T739" s="110"/>
    </row>
    <row r="740" ht="15.75" customHeight="1">
      <c r="T740" s="110"/>
    </row>
    <row r="741" ht="15.75" customHeight="1">
      <c r="T741" s="110"/>
    </row>
    <row r="742" ht="15.75" customHeight="1">
      <c r="T742" s="110"/>
    </row>
    <row r="743" ht="15.75" customHeight="1">
      <c r="T743" s="110"/>
    </row>
    <row r="744" ht="15.75" customHeight="1">
      <c r="T744" s="110"/>
    </row>
    <row r="745" ht="15.75" customHeight="1">
      <c r="T745" s="110"/>
    </row>
    <row r="746" ht="15.75" customHeight="1">
      <c r="T746" s="110"/>
    </row>
    <row r="747" ht="15.75" customHeight="1">
      <c r="T747" s="110"/>
    </row>
    <row r="748" ht="15.75" customHeight="1">
      <c r="T748" s="110"/>
    </row>
    <row r="749" ht="15.75" customHeight="1">
      <c r="T749" s="110"/>
    </row>
    <row r="750" ht="15.75" customHeight="1">
      <c r="T750" s="110"/>
    </row>
    <row r="751" ht="15.75" customHeight="1">
      <c r="T751" s="110"/>
    </row>
    <row r="752" ht="15.75" customHeight="1">
      <c r="T752" s="110"/>
    </row>
    <row r="753" ht="15.75" customHeight="1">
      <c r="T753" s="110"/>
    </row>
    <row r="754" ht="15.75" customHeight="1">
      <c r="T754" s="110"/>
    </row>
    <row r="755" ht="15.75" customHeight="1">
      <c r="T755" s="110"/>
    </row>
    <row r="756" ht="15.75" customHeight="1">
      <c r="T756" s="110"/>
    </row>
    <row r="757" ht="15.75" customHeight="1">
      <c r="T757" s="110"/>
    </row>
    <row r="758" ht="15.75" customHeight="1">
      <c r="T758" s="110"/>
    </row>
    <row r="759" ht="15.75" customHeight="1">
      <c r="T759" s="110"/>
    </row>
    <row r="760" ht="15.75" customHeight="1">
      <c r="T760" s="110"/>
    </row>
    <row r="761" ht="15.75" customHeight="1">
      <c r="T761" s="110"/>
    </row>
    <row r="762" ht="15.75" customHeight="1">
      <c r="T762" s="110"/>
    </row>
    <row r="763" ht="15.75" customHeight="1">
      <c r="T763" s="110"/>
    </row>
    <row r="764" ht="15.75" customHeight="1">
      <c r="T764" s="110"/>
    </row>
    <row r="765" ht="15.75" customHeight="1">
      <c r="T765" s="110"/>
    </row>
    <row r="766" ht="15.75" customHeight="1">
      <c r="T766" s="110"/>
    </row>
    <row r="767" ht="15.75" customHeight="1">
      <c r="T767" s="110"/>
    </row>
    <row r="768" ht="15.75" customHeight="1">
      <c r="T768" s="110"/>
    </row>
    <row r="769" ht="15.75" customHeight="1">
      <c r="T769" s="110"/>
    </row>
    <row r="770" ht="15.75" customHeight="1">
      <c r="T770" s="110"/>
    </row>
    <row r="771" ht="15.75" customHeight="1">
      <c r="T771" s="110"/>
    </row>
    <row r="772" ht="15.75" customHeight="1">
      <c r="T772" s="110"/>
    </row>
    <row r="773" ht="15.75" customHeight="1">
      <c r="T773" s="110"/>
    </row>
    <row r="774" ht="15.75" customHeight="1">
      <c r="T774" s="110"/>
    </row>
    <row r="775" ht="15.75" customHeight="1">
      <c r="T775" s="110"/>
    </row>
    <row r="776" ht="15.75" customHeight="1">
      <c r="T776" s="110"/>
    </row>
    <row r="777" ht="15.75" customHeight="1">
      <c r="T777" s="110"/>
    </row>
    <row r="778" ht="15.75" customHeight="1">
      <c r="T778" s="110"/>
    </row>
    <row r="779" ht="15.75" customHeight="1">
      <c r="T779" s="110"/>
    </row>
    <row r="780" ht="15.75" customHeight="1">
      <c r="T780" s="110"/>
    </row>
    <row r="781" ht="15.75" customHeight="1">
      <c r="T781" s="110"/>
    </row>
    <row r="782" ht="15.75" customHeight="1">
      <c r="T782" s="110"/>
    </row>
    <row r="783" ht="15.75" customHeight="1">
      <c r="T783" s="110"/>
    </row>
    <row r="784" ht="15.75" customHeight="1">
      <c r="T784" s="110"/>
    </row>
    <row r="785" ht="15.75" customHeight="1">
      <c r="T785" s="110"/>
    </row>
    <row r="786" ht="15.75" customHeight="1">
      <c r="T786" s="110"/>
    </row>
    <row r="787" ht="15.75" customHeight="1">
      <c r="T787" s="110"/>
    </row>
    <row r="788" ht="15.75" customHeight="1">
      <c r="T788" s="110"/>
    </row>
    <row r="789" ht="15.75" customHeight="1">
      <c r="T789" s="110"/>
    </row>
    <row r="790" ht="15.75" customHeight="1">
      <c r="T790" s="110"/>
    </row>
    <row r="791" ht="15.75" customHeight="1">
      <c r="T791" s="110"/>
    </row>
    <row r="792" ht="15.75" customHeight="1">
      <c r="T792" s="110"/>
    </row>
    <row r="793" ht="15.75" customHeight="1">
      <c r="T793" s="110"/>
    </row>
    <row r="794" ht="15.75" customHeight="1">
      <c r="T794" s="110"/>
    </row>
    <row r="795" ht="15.75" customHeight="1">
      <c r="T795" s="110"/>
    </row>
    <row r="796" ht="15.75" customHeight="1">
      <c r="T796" s="110"/>
    </row>
    <row r="797" ht="15.75" customHeight="1">
      <c r="T797" s="110"/>
    </row>
    <row r="798" ht="15.75" customHeight="1">
      <c r="T798" s="110"/>
    </row>
    <row r="799" ht="15.75" customHeight="1">
      <c r="T799" s="110"/>
    </row>
    <row r="800" ht="15.75" customHeight="1">
      <c r="T800" s="110"/>
    </row>
    <row r="801" ht="15.75" customHeight="1">
      <c r="T801" s="110"/>
    </row>
    <row r="802" ht="15.75" customHeight="1">
      <c r="T802" s="110"/>
    </row>
    <row r="803" ht="15.75" customHeight="1">
      <c r="T803" s="110"/>
    </row>
    <row r="804" ht="15.75" customHeight="1">
      <c r="T804" s="110"/>
    </row>
    <row r="805" ht="15.75" customHeight="1">
      <c r="T805" s="110"/>
    </row>
    <row r="806" ht="15.75" customHeight="1">
      <c r="T806" s="110"/>
    </row>
    <row r="807" ht="15.75" customHeight="1">
      <c r="T807" s="110"/>
    </row>
    <row r="808" ht="15.75" customHeight="1">
      <c r="T808" s="110"/>
    </row>
    <row r="809" ht="15.75" customHeight="1">
      <c r="T809" s="110"/>
    </row>
    <row r="810" ht="15.75" customHeight="1">
      <c r="T810" s="110"/>
    </row>
    <row r="811" ht="15.75" customHeight="1">
      <c r="T811" s="110"/>
    </row>
    <row r="812" ht="15.75" customHeight="1">
      <c r="T812" s="110"/>
    </row>
    <row r="813" ht="15.75" customHeight="1">
      <c r="T813" s="110"/>
    </row>
    <row r="814" ht="15.75" customHeight="1">
      <c r="T814" s="110"/>
    </row>
    <row r="815" ht="15.75" customHeight="1">
      <c r="T815" s="110"/>
    </row>
    <row r="816" ht="15.75" customHeight="1">
      <c r="T816" s="110"/>
    </row>
    <row r="817" ht="15.75" customHeight="1">
      <c r="T817" s="110"/>
    </row>
    <row r="818" ht="15.75" customHeight="1">
      <c r="T818" s="110"/>
    </row>
    <row r="819" ht="15.75" customHeight="1">
      <c r="T819" s="110"/>
    </row>
    <row r="820" ht="15.75" customHeight="1">
      <c r="T820" s="110"/>
    </row>
    <row r="821" ht="15.75" customHeight="1">
      <c r="T821" s="110"/>
    </row>
    <row r="822" ht="15.75" customHeight="1">
      <c r="T822" s="110"/>
    </row>
    <row r="823" ht="15.75" customHeight="1">
      <c r="T823" s="110"/>
    </row>
    <row r="824" ht="15.75" customHeight="1">
      <c r="T824" s="110"/>
    </row>
    <row r="825" ht="15.75" customHeight="1">
      <c r="T825" s="110"/>
    </row>
    <row r="826" ht="15.75" customHeight="1">
      <c r="T826" s="110"/>
    </row>
    <row r="827" ht="15.75" customHeight="1">
      <c r="T827" s="110"/>
    </row>
    <row r="828" ht="15.75" customHeight="1">
      <c r="T828" s="110"/>
    </row>
    <row r="829" ht="15.75" customHeight="1">
      <c r="T829" s="110"/>
    </row>
    <row r="830" ht="15.75" customHeight="1">
      <c r="T830" s="110"/>
    </row>
    <row r="831" ht="15.75" customHeight="1">
      <c r="T831" s="110"/>
    </row>
    <row r="832" ht="15.75" customHeight="1">
      <c r="T832" s="110"/>
    </row>
    <row r="833" ht="15.75" customHeight="1">
      <c r="T833" s="110"/>
    </row>
    <row r="834" ht="15.75" customHeight="1">
      <c r="T834" s="110"/>
    </row>
    <row r="835" ht="15.75" customHeight="1">
      <c r="T835" s="110"/>
    </row>
    <row r="836" ht="15.75" customHeight="1">
      <c r="T836" s="110"/>
    </row>
    <row r="837" ht="15.75" customHeight="1">
      <c r="T837" s="110"/>
    </row>
    <row r="838" ht="15.75" customHeight="1">
      <c r="T838" s="110"/>
    </row>
    <row r="839" ht="15.75" customHeight="1">
      <c r="T839" s="110"/>
    </row>
    <row r="840" ht="15.75" customHeight="1">
      <c r="T840" s="110"/>
    </row>
    <row r="841" ht="15.75" customHeight="1">
      <c r="T841" s="110"/>
    </row>
    <row r="842" ht="15.75" customHeight="1">
      <c r="T842" s="110"/>
    </row>
    <row r="843" ht="15.75" customHeight="1">
      <c r="T843" s="110"/>
    </row>
    <row r="844" ht="15.75" customHeight="1">
      <c r="T844" s="110"/>
    </row>
    <row r="845" ht="15.75" customHeight="1">
      <c r="T845" s="110"/>
    </row>
    <row r="846" ht="15.75" customHeight="1">
      <c r="T846" s="110"/>
    </row>
    <row r="847" ht="15.75" customHeight="1">
      <c r="T847" s="110"/>
    </row>
    <row r="848" ht="15.75" customHeight="1">
      <c r="T848" s="110"/>
    </row>
    <row r="849" ht="15.75" customHeight="1">
      <c r="T849" s="110"/>
    </row>
    <row r="850" ht="15.75" customHeight="1">
      <c r="T850" s="110"/>
    </row>
    <row r="851" ht="15.75" customHeight="1">
      <c r="T851" s="110"/>
    </row>
    <row r="852" ht="15.75" customHeight="1">
      <c r="T852" s="110"/>
    </row>
    <row r="853" ht="15.75" customHeight="1">
      <c r="T853" s="110"/>
    </row>
    <row r="854" ht="15.75" customHeight="1">
      <c r="T854" s="110"/>
    </row>
    <row r="855" ht="15.75" customHeight="1">
      <c r="T855" s="110"/>
    </row>
    <row r="856" ht="15.75" customHeight="1">
      <c r="T856" s="110"/>
    </row>
    <row r="857" ht="15.75" customHeight="1">
      <c r="T857" s="110"/>
    </row>
    <row r="858" ht="15.75" customHeight="1">
      <c r="T858" s="110"/>
    </row>
    <row r="859" ht="15.75" customHeight="1">
      <c r="T859" s="110"/>
    </row>
    <row r="860" ht="15.75" customHeight="1">
      <c r="T860" s="110"/>
    </row>
    <row r="861" ht="15.75" customHeight="1">
      <c r="T861" s="110"/>
    </row>
    <row r="862" ht="15.75" customHeight="1">
      <c r="T862" s="110"/>
    </row>
    <row r="863" ht="15.75" customHeight="1">
      <c r="T863" s="110"/>
    </row>
    <row r="864" ht="15.75" customHeight="1">
      <c r="T864" s="110"/>
    </row>
    <row r="865" ht="15.75" customHeight="1">
      <c r="T865" s="110"/>
    </row>
    <row r="866" ht="15.75" customHeight="1">
      <c r="T866" s="110"/>
    </row>
    <row r="867" ht="15.75" customHeight="1">
      <c r="T867" s="110"/>
    </row>
    <row r="868" ht="15.75" customHeight="1">
      <c r="T868" s="110"/>
    </row>
    <row r="869" ht="15.75" customHeight="1">
      <c r="T869" s="110"/>
    </row>
    <row r="870" ht="15.75" customHeight="1">
      <c r="T870" s="110"/>
    </row>
    <row r="871" ht="15.75" customHeight="1">
      <c r="T871" s="110"/>
    </row>
    <row r="872" ht="15.75" customHeight="1">
      <c r="T872" s="110"/>
    </row>
    <row r="873" ht="15.75" customHeight="1">
      <c r="T873" s="110"/>
    </row>
    <row r="874" ht="15.75" customHeight="1">
      <c r="T874" s="110"/>
    </row>
    <row r="875" ht="15.75" customHeight="1">
      <c r="T875" s="110"/>
    </row>
    <row r="876" ht="15.75" customHeight="1">
      <c r="T876" s="110"/>
    </row>
    <row r="877" ht="15.75" customHeight="1">
      <c r="T877" s="110"/>
    </row>
    <row r="878" ht="15.75" customHeight="1">
      <c r="T878" s="110"/>
    </row>
    <row r="879" ht="15.75" customHeight="1">
      <c r="T879" s="110"/>
    </row>
    <row r="880" ht="15.75" customHeight="1">
      <c r="T880" s="110"/>
    </row>
    <row r="881" ht="15.75" customHeight="1">
      <c r="T881" s="110"/>
    </row>
    <row r="882" ht="15.75" customHeight="1">
      <c r="T882" s="110"/>
    </row>
    <row r="883" ht="15.75" customHeight="1">
      <c r="T883" s="110"/>
    </row>
    <row r="884" ht="15.75" customHeight="1">
      <c r="T884" s="110"/>
    </row>
    <row r="885" ht="15.75" customHeight="1">
      <c r="T885" s="110"/>
    </row>
    <row r="886" ht="15.75" customHeight="1">
      <c r="T886" s="110"/>
    </row>
    <row r="887" ht="15.75" customHeight="1">
      <c r="T887" s="110"/>
    </row>
    <row r="888" ht="15.75" customHeight="1">
      <c r="T888" s="110"/>
    </row>
    <row r="889" ht="15.75" customHeight="1">
      <c r="T889" s="110"/>
    </row>
    <row r="890" ht="15.75" customHeight="1">
      <c r="T890" s="110"/>
    </row>
    <row r="891" ht="15.75" customHeight="1">
      <c r="T891" s="110"/>
    </row>
    <row r="892" ht="15.75" customHeight="1">
      <c r="T892" s="110"/>
    </row>
    <row r="893" ht="15.75" customHeight="1">
      <c r="T893" s="110"/>
    </row>
    <row r="894" ht="15.75" customHeight="1">
      <c r="T894" s="110"/>
    </row>
    <row r="895" ht="15.75" customHeight="1">
      <c r="T895" s="110"/>
    </row>
    <row r="896" ht="15.75" customHeight="1">
      <c r="T896" s="110"/>
    </row>
    <row r="897" ht="15.75" customHeight="1">
      <c r="T897" s="110"/>
    </row>
    <row r="898" ht="15.75" customHeight="1">
      <c r="T898" s="110"/>
    </row>
    <row r="899" ht="15.75" customHeight="1">
      <c r="T899" s="110"/>
    </row>
    <row r="900" ht="15.75" customHeight="1">
      <c r="T900" s="110"/>
    </row>
    <row r="901" ht="15.75" customHeight="1">
      <c r="T901" s="110"/>
    </row>
    <row r="902" ht="15.75" customHeight="1">
      <c r="T902" s="110"/>
    </row>
    <row r="903" ht="15.75" customHeight="1">
      <c r="T903" s="110"/>
    </row>
    <row r="904" ht="15.75" customHeight="1">
      <c r="T904" s="110"/>
    </row>
    <row r="905" ht="15.75" customHeight="1">
      <c r="T905" s="110"/>
    </row>
    <row r="906" ht="15.75" customHeight="1">
      <c r="T906" s="110"/>
    </row>
    <row r="907" ht="15.75" customHeight="1">
      <c r="T907" s="110"/>
    </row>
    <row r="908" ht="15.75" customHeight="1">
      <c r="T908" s="110"/>
    </row>
    <row r="909" ht="15.75" customHeight="1">
      <c r="T909" s="110"/>
    </row>
    <row r="910" ht="15.75" customHeight="1">
      <c r="T910" s="110"/>
    </row>
    <row r="911" ht="15.75" customHeight="1">
      <c r="T911" s="110"/>
    </row>
    <row r="912" ht="15.75" customHeight="1">
      <c r="T912" s="110"/>
    </row>
    <row r="913" ht="15.75" customHeight="1">
      <c r="T913" s="110"/>
    </row>
    <row r="914" ht="15.75" customHeight="1">
      <c r="T914" s="110"/>
    </row>
    <row r="915" ht="15.75" customHeight="1">
      <c r="T915" s="110"/>
    </row>
    <row r="916" ht="15.75" customHeight="1">
      <c r="T916" s="110"/>
    </row>
    <row r="917" ht="15.75" customHeight="1">
      <c r="T917" s="110"/>
    </row>
    <row r="918" ht="15.75" customHeight="1">
      <c r="T918" s="110"/>
    </row>
    <row r="919" ht="15.75" customHeight="1">
      <c r="T919" s="110"/>
    </row>
    <row r="920" ht="15.75" customHeight="1">
      <c r="T920" s="110"/>
    </row>
    <row r="921" ht="15.75" customHeight="1">
      <c r="T921" s="110"/>
    </row>
    <row r="922" ht="15.75" customHeight="1">
      <c r="T922" s="110"/>
    </row>
    <row r="923" ht="15.75" customHeight="1">
      <c r="T923" s="110"/>
    </row>
    <row r="924" ht="15.75" customHeight="1">
      <c r="T924" s="110"/>
    </row>
    <row r="925" ht="15.75" customHeight="1">
      <c r="T925" s="110"/>
    </row>
    <row r="926" ht="15.75" customHeight="1">
      <c r="T926" s="110"/>
    </row>
    <row r="927" ht="15.75" customHeight="1">
      <c r="T927" s="110"/>
    </row>
    <row r="928" ht="15.75" customHeight="1">
      <c r="T928" s="110"/>
    </row>
    <row r="929" ht="15.75" customHeight="1">
      <c r="T929" s="110"/>
    </row>
    <row r="930" ht="15.75" customHeight="1">
      <c r="T930" s="110"/>
    </row>
    <row r="931" ht="15.75" customHeight="1">
      <c r="T931" s="110"/>
    </row>
    <row r="932" ht="15.75" customHeight="1">
      <c r="T932" s="110"/>
    </row>
    <row r="933" ht="15.75" customHeight="1">
      <c r="T933" s="110"/>
    </row>
    <row r="934" ht="15.75" customHeight="1">
      <c r="T934" s="110"/>
    </row>
    <row r="935" ht="15.75" customHeight="1">
      <c r="T935" s="110"/>
    </row>
    <row r="936" ht="15.75" customHeight="1">
      <c r="T936" s="110"/>
    </row>
    <row r="937" ht="15.75" customHeight="1">
      <c r="T937" s="110"/>
    </row>
    <row r="938" ht="15.75" customHeight="1">
      <c r="T938" s="110"/>
    </row>
    <row r="939" ht="15.75" customHeight="1">
      <c r="T939" s="110"/>
    </row>
    <row r="940" ht="15.75" customHeight="1">
      <c r="T940" s="110"/>
    </row>
    <row r="941" ht="15.75" customHeight="1">
      <c r="T941" s="110"/>
    </row>
    <row r="942" ht="15.75" customHeight="1">
      <c r="T942" s="110"/>
    </row>
    <row r="943" ht="15.75" customHeight="1">
      <c r="T943" s="110"/>
    </row>
    <row r="944" ht="15.75" customHeight="1">
      <c r="T944" s="110"/>
    </row>
    <row r="945" ht="15.75" customHeight="1">
      <c r="T945" s="110"/>
    </row>
    <row r="946" ht="15.75" customHeight="1">
      <c r="T946" s="110"/>
    </row>
    <row r="947" ht="15.75" customHeight="1">
      <c r="T947" s="110"/>
    </row>
    <row r="948" ht="15.75" customHeight="1">
      <c r="T948" s="110"/>
    </row>
    <row r="949" ht="15.75" customHeight="1">
      <c r="T949" s="110"/>
    </row>
    <row r="950" ht="15.75" customHeight="1">
      <c r="T950" s="110"/>
    </row>
    <row r="951" ht="15.75" customHeight="1">
      <c r="T951" s="110"/>
    </row>
    <row r="952" ht="15.75" customHeight="1">
      <c r="T952" s="110"/>
    </row>
    <row r="953" ht="15.75" customHeight="1">
      <c r="T953" s="110"/>
    </row>
    <row r="954" ht="15.75" customHeight="1">
      <c r="T954" s="110"/>
    </row>
    <row r="955" ht="15.75" customHeight="1">
      <c r="T955" s="110"/>
    </row>
    <row r="956" ht="15.75" customHeight="1">
      <c r="T956" s="110"/>
    </row>
    <row r="957" ht="15.75" customHeight="1">
      <c r="T957" s="110"/>
    </row>
    <row r="958" ht="15.75" customHeight="1">
      <c r="T958" s="110"/>
    </row>
    <row r="959" ht="15.75" customHeight="1">
      <c r="T959" s="110"/>
    </row>
    <row r="960" ht="15.75" customHeight="1">
      <c r="T960" s="110"/>
    </row>
    <row r="961" ht="15.75" customHeight="1">
      <c r="T961" s="110"/>
    </row>
    <row r="962" ht="15.75" customHeight="1">
      <c r="T962" s="110"/>
    </row>
    <row r="963" ht="15.75" customHeight="1">
      <c r="T963" s="110"/>
    </row>
    <row r="964" ht="15.75" customHeight="1">
      <c r="T964" s="110"/>
    </row>
    <row r="965" ht="15.75" customHeight="1">
      <c r="T965" s="110"/>
    </row>
    <row r="966" ht="15.75" customHeight="1">
      <c r="T966" s="110"/>
    </row>
    <row r="967" ht="15.75" customHeight="1">
      <c r="T967" s="110"/>
    </row>
    <row r="968" ht="15.75" customHeight="1">
      <c r="T968" s="110"/>
    </row>
    <row r="969" ht="15.75" customHeight="1">
      <c r="T969" s="110"/>
    </row>
    <row r="970" ht="15.75" customHeight="1">
      <c r="T970" s="110"/>
    </row>
    <row r="971" ht="15.75" customHeight="1">
      <c r="T971" s="110"/>
    </row>
    <row r="972" ht="15.75" customHeight="1">
      <c r="T972" s="110"/>
    </row>
    <row r="973" ht="15.75" customHeight="1">
      <c r="T973" s="110"/>
    </row>
    <row r="974" ht="15.75" customHeight="1">
      <c r="T974" s="110"/>
    </row>
    <row r="975" ht="15.75" customHeight="1">
      <c r="T975" s="110"/>
    </row>
    <row r="976" ht="15.75" customHeight="1">
      <c r="T976" s="110"/>
    </row>
    <row r="977" ht="15.75" customHeight="1">
      <c r="T977" s="110"/>
    </row>
    <row r="978" ht="15.75" customHeight="1">
      <c r="T978" s="110"/>
    </row>
    <row r="979" ht="15.75" customHeight="1">
      <c r="T979" s="110"/>
    </row>
    <row r="980" ht="15.75" customHeight="1">
      <c r="T980" s="110"/>
    </row>
    <row r="981" ht="15.75" customHeight="1">
      <c r="T981" s="110"/>
    </row>
    <row r="982" ht="15.75" customHeight="1">
      <c r="T982" s="110"/>
    </row>
    <row r="983" ht="15.75" customHeight="1">
      <c r="T983" s="110"/>
    </row>
    <row r="984" ht="15.75" customHeight="1">
      <c r="T984" s="110"/>
    </row>
    <row r="985" ht="15.75" customHeight="1">
      <c r="T985" s="110"/>
    </row>
    <row r="986" ht="15.75" customHeight="1">
      <c r="T986" s="110"/>
    </row>
    <row r="987" ht="15.75" customHeight="1">
      <c r="T987" s="110"/>
    </row>
    <row r="988" ht="15.75" customHeight="1">
      <c r="T988" s="110"/>
    </row>
    <row r="989" ht="15.75" customHeight="1">
      <c r="T989" s="110"/>
    </row>
    <row r="990" ht="15.75" customHeight="1">
      <c r="T990" s="110"/>
    </row>
    <row r="991" ht="15.75" customHeight="1">
      <c r="T991" s="110"/>
    </row>
    <row r="992" ht="15.75" customHeight="1">
      <c r="T992" s="110"/>
    </row>
    <row r="993" ht="15.75" customHeight="1">
      <c r="T993" s="110"/>
    </row>
    <row r="994" ht="15.75" customHeight="1">
      <c r="T994" s="110"/>
    </row>
    <row r="995" ht="15.75" customHeight="1">
      <c r="T995" s="110"/>
    </row>
    <row r="996" ht="15.75" customHeight="1">
      <c r="T996" s="110"/>
    </row>
    <row r="997" ht="15.75" customHeight="1">
      <c r="T997" s="110"/>
    </row>
    <row r="998" ht="15.75" customHeight="1">
      <c r="T998" s="110"/>
    </row>
    <row r="999" ht="15.75" customHeight="1">
      <c r="T999" s="110"/>
    </row>
    <row r="1000" ht="15.75" customHeight="1">
      <c r="T1000" s="11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4.0"/>
    <col customWidth="1" min="5" max="26" width="8.63"/>
  </cols>
  <sheetData>
    <row r="2">
      <c r="A2" s="122" t="s">
        <v>144</v>
      </c>
      <c r="B2" s="122" t="s">
        <v>145</v>
      </c>
      <c r="C2" s="122" t="s">
        <v>146</v>
      </c>
      <c r="D2" s="38"/>
      <c r="E2" s="38" t="s">
        <v>147</v>
      </c>
    </row>
    <row r="3">
      <c r="A3" s="109" t="s">
        <v>148</v>
      </c>
      <c r="B3" s="109">
        <v>11959.0</v>
      </c>
      <c r="C3" s="109">
        <v>134.0</v>
      </c>
      <c r="D3" s="123">
        <f t="shared" ref="D3:D11" si="1">C3/B3</f>
        <v>0.01120495025</v>
      </c>
      <c r="E3" s="66">
        <f t="shared" ref="E3:E11" si="2">D3*100</f>
        <v>1.120495025</v>
      </c>
    </row>
    <row r="4">
      <c r="A4" s="109" t="s">
        <v>149</v>
      </c>
      <c r="B4" s="109">
        <v>12213.0</v>
      </c>
      <c r="C4" s="109">
        <v>151.0</v>
      </c>
      <c r="D4" s="123">
        <f t="shared" si="1"/>
        <v>0.01236387456</v>
      </c>
      <c r="E4" s="66">
        <f t="shared" si="2"/>
        <v>1.236387456</v>
      </c>
    </row>
    <row r="5">
      <c r="A5" s="109" t="s">
        <v>150</v>
      </c>
      <c r="B5" s="109">
        <v>12256.0</v>
      </c>
      <c r="C5" s="109">
        <v>136.0</v>
      </c>
      <c r="D5" s="123">
        <f t="shared" si="1"/>
        <v>0.01109660574</v>
      </c>
      <c r="E5" s="66">
        <f t="shared" si="2"/>
        <v>1.109660574</v>
      </c>
    </row>
    <row r="6">
      <c r="A6" s="109" t="s">
        <v>151</v>
      </c>
      <c r="B6" s="109">
        <v>11655.0</v>
      </c>
      <c r="C6" s="109">
        <v>140.0</v>
      </c>
      <c r="D6" s="123">
        <f t="shared" si="1"/>
        <v>0.01201201201</v>
      </c>
      <c r="E6" s="66">
        <f t="shared" si="2"/>
        <v>1.201201201</v>
      </c>
    </row>
    <row r="7">
      <c r="A7" s="109" t="s">
        <v>152</v>
      </c>
      <c r="B7" s="109">
        <v>11469.0</v>
      </c>
      <c r="C7" s="109">
        <v>143.0</v>
      </c>
      <c r="D7" s="123">
        <f t="shared" si="1"/>
        <v>0.01246839306</v>
      </c>
      <c r="E7" s="66">
        <f t="shared" si="2"/>
        <v>1.246839306</v>
      </c>
    </row>
    <row r="8">
      <c r="A8" s="109" t="s">
        <v>153</v>
      </c>
      <c r="B8" s="109">
        <v>11297.0</v>
      </c>
      <c r="C8" s="109">
        <v>106.0</v>
      </c>
      <c r="D8" s="123">
        <f t="shared" si="1"/>
        <v>0.009383022041</v>
      </c>
      <c r="E8" s="66">
        <f t="shared" si="2"/>
        <v>0.9383022041</v>
      </c>
    </row>
    <row r="9">
      <c r="A9" s="109" t="s">
        <v>154</v>
      </c>
      <c r="B9" s="109">
        <v>11465.0</v>
      </c>
      <c r="C9" s="109">
        <v>89.0</v>
      </c>
      <c r="D9" s="123">
        <f t="shared" si="1"/>
        <v>0.007762756215</v>
      </c>
      <c r="E9" s="66">
        <f t="shared" si="2"/>
        <v>0.7762756215</v>
      </c>
    </row>
    <row r="10">
      <c r="A10" s="109" t="s">
        <v>155</v>
      </c>
      <c r="B10" s="109">
        <v>10426.0</v>
      </c>
      <c r="C10" s="109">
        <v>80.0</v>
      </c>
      <c r="D10" s="123">
        <f t="shared" si="1"/>
        <v>0.00767312488</v>
      </c>
      <c r="E10" s="66">
        <f t="shared" si="2"/>
        <v>0.767312488</v>
      </c>
    </row>
    <row r="11">
      <c r="A11" s="109" t="s">
        <v>156</v>
      </c>
      <c r="B11" s="109">
        <v>11991.0</v>
      </c>
      <c r="C11" s="109">
        <v>83.0</v>
      </c>
      <c r="D11" s="123">
        <f t="shared" si="1"/>
        <v>0.00692185806</v>
      </c>
      <c r="E11" s="66">
        <f t="shared" si="2"/>
        <v>0.692185806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2025-10-27T11:23:57Z</dcterms:created>
  <dc:creator>Thais Madeira</dc:creator>
</cp:coreProperties>
</file>