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OneDrive\Área de Trabalho\Maternidade_atualizado\"/>
    </mc:Choice>
  </mc:AlternateContent>
  <xr:revisionPtr revIDLastSave="0" documentId="13_ncr:1_{BB30536F-F21C-4BC8-8965-8001604B9857}" xr6:coauthVersionLast="47" xr6:coauthVersionMax="47" xr10:uidLastSave="{00000000-0000-0000-0000-000000000000}"/>
  <bookViews>
    <workbookView xWindow="-120" yWindow="-120" windowWidth="20730" windowHeight="11160" xr2:uid="{645664C5-6C57-4848-8FF9-B2562E5DE07D}"/>
  </bookViews>
  <sheets>
    <sheet name="Total de partos" sheetId="2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2" l="1"/>
  <c r="P14" i="2"/>
  <c r="P13" i="2"/>
  <c r="P12" i="2"/>
  <c r="P11" i="2"/>
  <c r="P10" i="2"/>
  <c r="O15" i="2"/>
  <c r="O14" i="2"/>
  <c r="O13" i="2"/>
  <c r="O12" i="2"/>
  <c r="O11" i="2"/>
  <c r="O10" i="2"/>
  <c r="P9" i="2"/>
  <c r="O9" i="2"/>
  <c r="P8" i="2"/>
  <c r="O8" i="2"/>
  <c r="O5" i="2"/>
  <c r="N5" i="2"/>
  <c r="O4" i="2"/>
  <c r="N4" i="2"/>
  <c r="O3" i="2"/>
  <c r="N3" i="2"/>
</calcChain>
</file>

<file path=xl/sharedStrings.xml><?xml version="1.0" encoding="utf-8"?>
<sst xmlns="http://schemas.openxmlformats.org/spreadsheetml/2006/main" count="31" uniqueCount="31">
  <si>
    <t>Período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</si>
  <si>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</si>
  <si>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</si>
  <si>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</si>
  <si>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</si>
  <si>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</si>
  <si>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</si>
  <si>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</si>
  <si>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</si>
  <si>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</si>
  <si>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</si>
  <si>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</si>
  <si>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</si>
  <si>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</si>
  <si>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total</t>
  </si>
  <si>
    <t>Vaginal</t>
  </si>
  <si>
    <t>Cesariano</t>
  </si>
  <si>
    <t>Partos  Realizados - Ano 2025</t>
  </si>
  <si>
    <t>*total de saídas inclui aborto e outros atendimentos</t>
  </si>
  <si>
    <t>Total de saídas*</t>
  </si>
  <si>
    <t>Proc Esp</t>
  </si>
  <si>
    <t>jan</t>
  </si>
  <si>
    <t>fev</t>
  </si>
  <si>
    <t>mar</t>
  </si>
  <si>
    <t>abr</t>
  </si>
  <si>
    <t>mai</t>
  </si>
  <si>
    <t>jun</t>
  </si>
  <si>
    <t>jul</t>
  </si>
  <si>
    <t>ago</t>
  </si>
  <si>
    <t>Sim partos</t>
  </si>
  <si>
    <t>Partos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</si>
</sst>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3" borderId="2" xfId="0" applyFont="1" applyFill="1" applyBorder="1"/>
    <xf numFmtId="17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1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/>
    <xf numFmtId="0" fontId="1" fillId="3" borderId="0" xfId="0" applyFont="1" applyFill="1"/>
    <xf numFmtId="0" fontId="4" fillId="4" borderId="2" xfId="0" applyFont="1" applyFill="1" applyBorder="1"/>
    <xf numFmtId="1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1" fontId="1" fillId="4" borderId="2" xfId="0" applyNumberFormat="1" applyFont="1" applyFill="1" applyBorder="1"/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de partos'!$A$3</c:f>
              <c:strCache>
                <c:ptCount val="1"/>
                <c:pt idx="0">
                  <c:v>Cesariano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partos'!$B$2:$M$2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'Total de partos'!$B$3:$M$3</c:f>
              <c:numCache>
                <c:formatCode>0</c:formatCode>
                <c:ptCount val="12"/>
                <c:pt idx="0">
                  <c:v>44</c:v>
                </c:pt>
                <c:pt idx="1">
                  <c:v>34</c:v>
                </c:pt>
                <c:pt idx="2">
                  <c:v>66</c:v>
                </c:pt>
                <c:pt idx="3">
                  <c:v>35</c:v>
                </c:pt>
                <c:pt idx="4">
                  <c:v>42</c:v>
                </c:pt>
                <c:pt idx="5">
                  <c:v>44</c:v>
                </c:pt>
                <c:pt idx="6">
                  <c:v>47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35C-9DDE-AD4C1E7E66B8}"/>
            </c:ext>
          </c:extLst>
        </c:ser>
        <c:ser>
          <c:idx val="1"/>
          <c:order val="1"/>
          <c:tx>
            <c:strRef>
              <c:f>'Total de partos'!$A$4</c:f>
              <c:strCache>
                <c:ptCount val="1"/>
                <c:pt idx="0">
                  <c:v>Vaginal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partos'!$B$2:$M$2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'Total de partos'!$B$4:$M$4</c:f>
              <c:numCache>
                <c:formatCode>0</c:formatCode>
                <c:ptCount val="12"/>
                <c:pt idx="0">
                  <c:v>118</c:v>
                </c:pt>
                <c:pt idx="1">
                  <c:v>86</c:v>
                </c:pt>
                <c:pt idx="2">
                  <c:v>140</c:v>
                </c:pt>
                <c:pt idx="3">
                  <c:v>122</c:v>
                </c:pt>
                <c:pt idx="4">
                  <c:v>144</c:v>
                </c:pt>
                <c:pt idx="5">
                  <c:v>150</c:v>
                </c:pt>
                <c:pt idx="6">
                  <c:v>132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35C-9DDE-AD4C1E7E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439168"/>
        <c:axId val="350439496"/>
      </c:barChart>
      <c:catAx>
        <c:axId val="35043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439496"/>
        <c:crosses val="autoZero"/>
        <c:auto val="1"/>
        <c:lblAlgn val="ctr"/>
        <c:lblOffset val="100"/>
        <c:noMultiLvlLbl val="0"/>
      </c:catAx>
      <c:valAx>
        <c:axId val="3504394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04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de partos'!$O$7</c:f>
              <c:strCache>
                <c:ptCount val="1"/>
                <c:pt idx="0">
                  <c:v>Partos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partos'!$N$8:$N$15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'Total de partos'!$O$8:$O$15</c:f>
              <c:numCache>
                <c:formatCode>0</c:formatCode>
                <c:ptCount val="8"/>
                <c:pt idx="0">
                  <c:v>162</c:v>
                </c:pt>
                <c:pt idx="1">
                  <c:v>120</c:v>
                </c:pt>
                <c:pt idx="2">
                  <c:v>206</c:v>
                </c:pt>
                <c:pt idx="3">
                  <c:v>157</c:v>
                </c:pt>
                <c:pt idx="4">
                  <c:v>186</c:v>
                </c:pt>
                <c:pt idx="5">
                  <c:v>194</c:v>
                </c:pt>
                <c:pt idx="6">
                  <c:v>179</c:v>
                </c:pt>
                <c:pt idx="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5-4886-8A37-79202807F0D7}"/>
            </c:ext>
          </c:extLst>
        </c:ser>
        <c:ser>
          <c:idx val="1"/>
          <c:order val="1"/>
          <c:tx>
            <c:strRef>
              <c:f>'Total de partos'!$P$7</c:f>
              <c:strCache>
                <c:ptCount val="1"/>
                <c:pt idx="0">
                  <c:v>Proc Esp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de partos'!$N$8:$N$15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'Total de partos'!$P$8:$P$15</c:f>
              <c:numCache>
                <c:formatCode>0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24</c:v>
                </c:pt>
                <c:pt idx="4">
                  <c:v>13</c:v>
                </c:pt>
                <c:pt idx="5">
                  <c:v>6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5-4886-8A37-79202807F0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1427136"/>
        <c:axId val="773415792"/>
      </c:barChart>
      <c:catAx>
        <c:axId val="7714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3415792"/>
        <c:crosses val="autoZero"/>
        <c:auto val="1"/>
        <c:lblAlgn val="ctr"/>
        <c:lblOffset val="100"/>
        <c:noMultiLvlLbl val="0"/>
      </c:catAx>
      <c:valAx>
        <c:axId val="7734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14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6</xdr:row>
      <xdr:rowOff>95250</xdr:rowOff>
    </xdr:from>
    <xdr:to>
      <xdr:col>11</xdr:col>
      <xdr:colOff>238125</xdr:colOff>
      <xdr:row>20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30394A-D5CA-4F16-AF19-C9E88B191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4</xdr:row>
      <xdr:rowOff>104775</xdr:rowOff>
    </xdr:from>
    <xdr:to>
      <xdr:col>10</xdr:col>
      <xdr:colOff>323850</xdr:colOff>
      <xdr:row>18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9E352C-91D0-AE80-DA87-88D582D1B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BC3E-9EE7-4531-887E-88E6E83DDBDB}">
  <sheetPr>
    <tabColor theme="5" tint="0.39997558519241921"/>
  </sheetPr>
  <dimension ref="A1:AB23"/>
  <sheetViews>
    <sheetView showGridLines="0" tabSelected="1" topLeftCell="A3" workbookViewId="0">
      <selection activeCell="O8" sqref="O8"/>
    </sheetView>
  </sheetViews>
  <sheetFormatPr defaultRowHeight="15" x14ac:dyDescent="0.25"/>
  <cols>
    <col min="1" max="1" width="16.85546875" customWidth="1"/>
    <col min="18" max="18" width="22.140625" customWidth="1"/>
  </cols>
  <sheetData>
    <row r="1" spans="1:16" s="2" customFormat="1" ht="23.25" x14ac:dyDescent="0.35">
      <c r="A1" s="1"/>
      <c r="B1" s="20" t="s">
        <v>17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6" s="8" customFormat="1" ht="15.75" x14ac:dyDescent="0.25">
      <c r="A2" s="3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7" t="s">
        <v>14</v>
      </c>
    </row>
    <row r="3" spans="1:16" s="8" customFormat="1" ht="15.75" x14ac:dyDescent="0.25">
      <c r="A3" s="3" t="s">
        <v>16</v>
      </c>
      <c r="B3" s="9">
        <v>44</v>
      </c>
      <c r="C3" s="9">
        <v>34</v>
      </c>
      <c r="D3" s="9">
        <v>66</v>
      </c>
      <c r="E3" s="9">
        <v>35</v>
      </c>
      <c r="F3" s="10">
        <v>42</v>
      </c>
      <c r="G3" s="10">
        <v>44</v>
      </c>
      <c r="H3" s="10">
        <v>47</v>
      </c>
      <c r="I3" s="10">
        <v>48</v>
      </c>
      <c r="J3" s="11"/>
      <c r="K3" s="11"/>
      <c r="L3" s="11"/>
      <c r="M3" s="11"/>
      <c r="N3" s="12">
        <f>AVERAGE(B3:J3)</f>
        <v>45</v>
      </c>
      <c r="O3" s="12">
        <f>SUM(B3:J3)</f>
        <v>360</v>
      </c>
    </row>
    <row r="4" spans="1:16" s="8" customFormat="1" ht="15.75" x14ac:dyDescent="0.25">
      <c r="A4" s="3" t="s">
        <v>15</v>
      </c>
      <c r="B4" s="10">
        <v>118</v>
      </c>
      <c r="C4" s="10">
        <v>86</v>
      </c>
      <c r="D4" s="10">
        <v>140</v>
      </c>
      <c r="E4" s="10">
        <v>122</v>
      </c>
      <c r="F4" s="10">
        <v>144</v>
      </c>
      <c r="G4" s="10">
        <v>150</v>
      </c>
      <c r="H4" s="10">
        <v>132</v>
      </c>
      <c r="I4" s="10">
        <v>123</v>
      </c>
      <c r="J4" s="11"/>
      <c r="K4" s="11"/>
      <c r="L4" s="11"/>
      <c r="M4" s="11"/>
      <c r="N4" s="12">
        <f>AVERAGE(B4:J4)</f>
        <v>126.875</v>
      </c>
      <c r="O4" s="12">
        <f>SUM(B4:J4)</f>
        <v>1015</v>
      </c>
    </row>
    <row r="5" spans="1:16" s="8" customFormat="1" ht="15.75" x14ac:dyDescent="0.25">
      <c r="A5" s="14" t="s">
        <v>19</v>
      </c>
      <c r="B5" s="15">
        <v>174</v>
      </c>
      <c r="C5" s="15">
        <v>137</v>
      </c>
      <c r="D5" s="15">
        <v>221</v>
      </c>
      <c r="E5" s="15">
        <v>181</v>
      </c>
      <c r="F5" s="15">
        <v>199</v>
      </c>
      <c r="G5" s="15">
        <v>200</v>
      </c>
      <c r="H5" s="15">
        <v>197</v>
      </c>
      <c r="I5" s="15">
        <v>183</v>
      </c>
      <c r="J5" s="16"/>
      <c r="K5" s="16"/>
      <c r="L5" s="16"/>
      <c r="M5" s="16"/>
      <c r="N5" s="17">
        <f>AVERAGE(B5:J5)</f>
        <v>186.5</v>
      </c>
      <c r="O5" s="17">
        <f>SUM(B5:J5)</f>
        <v>1492</v>
      </c>
    </row>
    <row r="6" spans="1:16" s="8" customFormat="1" x14ac:dyDescent="0.25">
      <c r="A6" s="13" t="s">
        <v>18</v>
      </c>
      <c r="B6" s="13"/>
      <c r="C6" s="13"/>
      <c r="D6" s="13"/>
    </row>
    <row r="7" spans="1:16" s="8" customFormat="1" x14ac:dyDescent="0.25">
      <c r="O7" s="18" t="s">
        <v>30</v>
      </c>
      <c r="P7" s="18" t="s">
        <v>20</v>
      </c>
    </row>
    <row r="8" spans="1:16" s="8" customFormat="1" x14ac:dyDescent="0.25">
      <c r="N8" s="18" t="s">
        <v>21</v>
      </c>
      <c r="O8" s="19">
        <f>SUM(B3:B4)</f>
        <v>162</v>
      </c>
      <c r="P8" s="19">
        <f>B5-O8</f>
        <v>12</v>
      </c>
    </row>
    <row r="9" spans="1:16" s="8" customFormat="1" x14ac:dyDescent="0.25">
      <c r="N9" s="18" t="s">
        <v>22</v>
      </c>
      <c r="O9" s="19">
        <f>SUM(C3:C4)</f>
        <v>120</v>
      </c>
      <c r="P9" s="19">
        <f>C5-O9</f>
        <v>17</v>
      </c>
    </row>
    <row r="10" spans="1:16" s="8" customFormat="1" x14ac:dyDescent="0.25">
      <c r="N10" s="18" t="s">
        <v>23</v>
      </c>
      <c r="O10" s="19">
        <f>SUM(D3:D4)</f>
        <v>206</v>
      </c>
      <c r="P10" s="19">
        <f>D5-O10</f>
        <v>15</v>
      </c>
    </row>
    <row r="11" spans="1:16" s="8" customFormat="1" x14ac:dyDescent="0.25">
      <c r="N11" s="18" t="s">
        <v>24</v>
      </c>
      <c r="O11" s="19">
        <f>SUM(E3:E4)</f>
        <v>157</v>
      </c>
      <c r="P11" s="19">
        <f>E5-O11</f>
        <v>24</v>
      </c>
    </row>
    <row r="12" spans="1:16" s="8" customFormat="1" x14ac:dyDescent="0.25">
      <c r="N12" s="18" t="s">
        <v>25</v>
      </c>
      <c r="O12" s="19">
        <f>SUM(F3:F4)</f>
        <v>186</v>
      </c>
      <c r="P12" s="19">
        <f>F5-O12</f>
        <v>13</v>
      </c>
    </row>
    <row r="13" spans="1:16" s="8" customFormat="1" x14ac:dyDescent="0.25">
      <c r="N13" s="18" t="s">
        <v>26</v>
      </c>
      <c r="O13" s="19">
        <f>SUM(G3:G4)</f>
        <v>194</v>
      </c>
      <c r="P13" s="19">
        <f>G5-O13</f>
        <v>6</v>
      </c>
    </row>
    <row r="14" spans="1:16" s="8" customFormat="1" x14ac:dyDescent="0.25">
      <c r="N14" s="18" t="s">
        <v>27</v>
      </c>
      <c r="O14" s="19">
        <f>SUM(H3:H4)</f>
        <v>179</v>
      </c>
      <c r="P14" s="19">
        <f>H5-O14</f>
        <v>18</v>
      </c>
    </row>
    <row r="15" spans="1:16" s="8" customFormat="1" x14ac:dyDescent="0.25">
      <c r="N15" s="18" t="s">
        <v>28</v>
      </c>
      <c r="O15" s="19">
        <f>SUM(I3:I4)</f>
        <v>171</v>
      </c>
      <c r="P15" s="19">
        <f>I5-O15</f>
        <v>12</v>
      </c>
    </row>
    <row r="16" spans="1:16" s="8" customFormat="1" x14ac:dyDescent="0.25">
      <c r="O16" s="18"/>
      <c r="P16" s="18"/>
    </row>
    <row r="17" spans="1:28" s="8" customFormat="1" x14ac:dyDescent="0.25">
      <c r="O17" s="18"/>
      <c r="P17" s="18"/>
    </row>
    <row r="18" spans="1:28" s="8" customFormat="1" x14ac:dyDescent="0.25"/>
    <row r="19" spans="1:28" s="8" customFormat="1" x14ac:dyDescent="0.25"/>
    <row r="20" spans="1:28" s="8" customFormat="1" x14ac:dyDescent="0.25"/>
    <row r="21" spans="1:28" s="8" customFormat="1" x14ac:dyDescent="0.25"/>
    <row r="22" spans="1:28" s="8" customFormat="1" x14ac:dyDescent="0.25"/>
    <row r="23" spans="1:2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</sheetData>
  <mergeCells count="1">
    <mergeCell ref="B1:M1"/>
  </mergeCells>
  <phoneticPr fontId="5" type="noConversion"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2423-59F7-433F-9FE5-EF0852C1ABF5}">
  <dimension ref="A1:A9"/>
  <sheetViews>
    <sheetView workbookViewId="0">
      <selection activeCell="A2" sqref="A2:A9"/>
    </sheetView>
  </sheetViews>
  <sheetFormatPr defaultRowHeight="15" x14ac:dyDescent="0.25"/>
  <cols>
    <col min="1" max="1" width="10.28515625" bestFit="1" customWidth="1"/>
  </cols>
  <sheetData>
    <row r="1" spans="1:1" x14ac:dyDescent="0.25">
      <c r="A1" t="s">
        <v>29</v>
      </c>
    </row>
    <row r="2" spans="1:1" x14ac:dyDescent="0.25">
      <c r="A2">
        <v>155</v>
      </c>
    </row>
    <row r="3" spans="1:1" x14ac:dyDescent="0.25">
      <c r="A3">
        <v>166</v>
      </c>
    </row>
    <row r="4" spans="1:1" x14ac:dyDescent="0.25">
      <c r="A4">
        <v>143</v>
      </c>
    </row>
    <row r="5" spans="1:1" x14ac:dyDescent="0.25">
      <c r="A5">
        <v>167</v>
      </c>
    </row>
    <row r="6" spans="1:1" x14ac:dyDescent="0.25">
      <c r="A6">
        <v>168</v>
      </c>
    </row>
    <row r="7" spans="1:1" x14ac:dyDescent="0.25">
      <c r="A7">
        <v>141</v>
      </c>
    </row>
    <row r="8" spans="1:1" x14ac:dyDescent="0.25">
      <c r="A8">
        <v>169</v>
      </c>
    </row>
    <row r="9" spans="1:1" x14ac:dyDescent="0.25">
      <c r="A9">
        <v>144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Total de partos</vt:lpstr>
      <vt:lpstr>Planilha1</vt:lpstr>
    </vt:vector>
  </TitlesOfParts>
  <Company>Hospital Risoleta Tolentino Neves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Lidiane Teixeira</dc:creator>
  <cp:lastModifiedBy>GABRIEL MARCOS DE MORAIS NASCIMENTO</cp:lastModifiedBy>
  <dcterms:created xsi:type="dcterms:W3CDTF">2025-10-17T18:55:58Z</dcterms:created>
  <dcterms:modified xsi:type="dcterms:W3CDTF">2025-10-22T12:54:06Z</dcterms:modified>
</cp:coreProperties>
</file>